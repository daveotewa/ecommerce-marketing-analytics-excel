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ote\Downloads\Data Projects\E-commerce Dashboard\"/>
    </mc:Choice>
  </mc:AlternateContent>
  <xr:revisionPtr revIDLastSave="0" documentId="8_{BE58EAB2-03FF-4BFD-8766-1124D862F82A}" xr6:coauthVersionLast="47" xr6:coauthVersionMax="47" xr10:uidLastSave="{00000000-0000-0000-0000-000000000000}"/>
  <bookViews>
    <workbookView xWindow="-108" yWindow="-108" windowWidth="23256" windowHeight="12456" firstSheet="5" activeTab="5" xr2:uid="{E8E18F00-C7E4-4BCE-9658-844F6839DC71}"/>
  </bookViews>
  <sheets>
    <sheet name="00_Control" sheetId="1" r:id="rId1"/>
    <sheet name="01_Raw_Meta" sheetId="2" r:id="rId2"/>
    <sheet name="02_Raw_Google" sheetId="3" r:id="rId3"/>
    <sheet name="03_Raw_Shopify" sheetId="5" r:id="rId4"/>
    <sheet name="10_Clean_Meta" sheetId="6" r:id="rId5"/>
    <sheet name="11_Clean_Google" sheetId="7" r:id="rId6"/>
    <sheet name="12_Clean_ShopifyData" sheetId="8" r:id="rId7"/>
    <sheet name="20_Model_Daily" sheetId="10" r:id="rId8"/>
    <sheet name="21_Model_Filtered" sheetId="11" r:id="rId9"/>
    <sheet name="30_Campaign_Perf" sheetId="12" r:id="rId10"/>
    <sheet name="31_Creative_Perf" sheetId="13" r:id="rId11"/>
    <sheet name="32_Product_Perf" sheetId="14" r:id="rId12"/>
    <sheet name="40_Executive_Dashboard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5" l="1"/>
  <c r="D7" i="15"/>
  <c r="H3" i="14"/>
  <c r="H4" i="14"/>
  <c r="H5" i="14"/>
  <c r="H6" i="14"/>
  <c r="H2" i="14"/>
  <c r="G3" i="14"/>
  <c r="G4" i="14"/>
  <c r="G5" i="14"/>
  <c r="G6" i="14"/>
  <c r="G2" i="14"/>
  <c r="F3" i="14"/>
  <c r="F4" i="14"/>
  <c r="F5" i="14"/>
  <c r="F6" i="14"/>
  <c r="F2" i="14"/>
  <c r="E3" i="14"/>
  <c r="E4" i="14"/>
  <c r="E5" i="14"/>
  <c r="E6" i="14"/>
  <c r="E2" i="14"/>
  <c r="D3" i="14"/>
  <c r="D4" i="14"/>
  <c r="D5" i="14"/>
  <c r="D6" i="14"/>
  <c r="D2" i="14"/>
  <c r="C3" i="14"/>
  <c r="C4" i="14"/>
  <c r="C5" i="14"/>
  <c r="C6" i="14"/>
  <c r="C2" i="14"/>
  <c r="B3" i="14"/>
  <c r="B4" i="14"/>
  <c r="B5" i="14"/>
  <c r="B6" i="14"/>
  <c r="B2" i="14"/>
  <c r="A2" i="14" a="1"/>
  <c r="A2" i="14" s="1"/>
  <c r="B3" i="1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P102" i="10"/>
  <c r="O102" i="10"/>
  <c r="N102" i="10"/>
  <c r="M102" i="10"/>
  <c r="L102" i="10"/>
  <c r="K102" i="10"/>
  <c r="G102" i="10"/>
  <c r="H102" i="10"/>
  <c r="I102" i="10"/>
  <c r="J102" i="10"/>
  <c r="F102" i="10"/>
  <c r="C102" i="10"/>
  <c r="D102" i="10"/>
  <c r="E102" i="10"/>
  <c r="B102" i="10"/>
  <c r="A10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C2" i="10"/>
  <c r="D2" i="10"/>
  <c r="E2" i="10"/>
  <c r="F2" i="10"/>
  <c r="O2" i="10" s="1"/>
  <c r="G2" i="10"/>
  <c r="H2" i="10"/>
  <c r="I2" i="10"/>
  <c r="J2" i="10"/>
  <c r="M2" i="10" s="1"/>
  <c r="K2" i="10"/>
  <c r="B2" i="10"/>
  <c r="A2" i="10"/>
  <c r="P2" i="10"/>
  <c r="L2" i="10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K2" i="7"/>
  <c r="J2" i="7"/>
  <c r="I2" i="7"/>
  <c r="H2" i="7"/>
  <c r="G2" i="7"/>
  <c r="F2" i="7"/>
  <c r="E2" i="7"/>
  <c r="D2" i="7"/>
  <c r="C2" i="7"/>
  <c r="B2" i="7"/>
  <c r="A2" i="7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K2" i="6"/>
  <c r="J2" i="6"/>
  <c r="I2" i="6"/>
  <c r="H2" i="6"/>
  <c r="G2" i="6"/>
  <c r="F2" i="6"/>
  <c r="E2" i="6"/>
  <c r="D2" i="6"/>
  <c r="C2" i="6"/>
  <c r="B2" i="6"/>
  <c r="A2" i="6"/>
  <c r="B4" i="1"/>
  <c r="N2" i="10" l="1"/>
  <c r="A2" i="11" a="1"/>
  <c r="C3" i="15" l="1"/>
  <c r="D3" i="15"/>
  <c r="A2" i="13" a="1"/>
  <c r="H15" i="13" s="1"/>
  <c r="B3" i="15"/>
  <c r="A2" i="11"/>
  <c r="A2" i="12" a="1"/>
  <c r="E3" i="15" l="1"/>
  <c r="B11" i="15" a="1"/>
  <c r="H7" i="13"/>
  <c r="C13" i="13"/>
  <c r="C18" i="13"/>
  <c r="D18" i="13"/>
  <c r="D14" i="13"/>
  <c r="E13" i="13"/>
  <c r="F13" i="13" s="1"/>
  <c r="E14" i="13"/>
  <c r="H17" i="13"/>
  <c r="H4" i="13"/>
  <c r="C12" i="13"/>
  <c r="C7" i="13"/>
  <c r="D10" i="13"/>
  <c r="D12" i="13"/>
  <c r="E18" i="13"/>
  <c r="E12" i="13"/>
  <c r="E3" i="13"/>
  <c r="H16" i="13"/>
  <c r="C5" i="13"/>
  <c r="C19" i="13"/>
  <c r="C3" i="13"/>
  <c r="D13" i="13"/>
  <c r="D8" i="13"/>
  <c r="D17" i="13"/>
  <c r="D11" i="13"/>
  <c r="E10" i="13"/>
  <c r="E5" i="13"/>
  <c r="E8" i="13"/>
  <c r="E15" i="13"/>
  <c r="H18" i="13"/>
  <c r="H9" i="13"/>
  <c r="H12" i="13"/>
  <c r="H19" i="13"/>
  <c r="H3" i="13"/>
  <c r="C16" i="13"/>
  <c r="C11" i="13"/>
  <c r="D16" i="13"/>
  <c r="D19" i="13"/>
  <c r="D3" i="13"/>
  <c r="E16" i="13"/>
  <c r="E7" i="13"/>
  <c r="H14" i="13"/>
  <c r="H11" i="13"/>
  <c r="C9" i="13"/>
  <c r="C10" i="13"/>
  <c r="D6" i="13"/>
  <c r="D15" i="13"/>
  <c r="E9" i="13"/>
  <c r="E19" i="13"/>
  <c r="H13" i="13"/>
  <c r="H6" i="13"/>
  <c r="C14" i="13"/>
  <c r="C8" i="13"/>
  <c r="C17" i="13"/>
  <c r="C6" i="13"/>
  <c r="C4" i="13"/>
  <c r="C15" i="13"/>
  <c r="A2" i="13"/>
  <c r="H2" i="13" s="1"/>
  <c r="D5" i="13"/>
  <c r="D4" i="13"/>
  <c r="D9" i="13"/>
  <c r="D7" i="13"/>
  <c r="E17" i="13"/>
  <c r="E6" i="13"/>
  <c r="E4" i="13"/>
  <c r="E11" i="13"/>
  <c r="H10" i="13"/>
  <c r="H5" i="13"/>
  <c r="H8" i="13"/>
  <c r="D3" i="12"/>
  <c r="D7" i="12"/>
  <c r="D4" i="12"/>
  <c r="D8" i="12"/>
  <c r="D6" i="12"/>
  <c r="D5" i="12"/>
  <c r="C3" i="12"/>
  <c r="G3" i="12" s="1"/>
  <c r="C7" i="12"/>
  <c r="G7" i="12" s="1"/>
  <c r="C6" i="12"/>
  <c r="G6" i="12" s="1"/>
  <c r="C4" i="12"/>
  <c r="G4" i="12" s="1"/>
  <c r="C8" i="12"/>
  <c r="G8" i="12" s="1"/>
  <c r="C5" i="12"/>
  <c r="G5" i="12" s="1"/>
  <c r="A2" i="12"/>
  <c r="B3" i="12"/>
  <c r="B7" i="12"/>
  <c r="B4" i="12"/>
  <c r="B8" i="12"/>
  <c r="B5" i="12"/>
  <c r="B6" i="12"/>
  <c r="B11" i="15" l="1"/>
  <c r="C11" i="15" s="1"/>
  <c r="C12" i="15"/>
  <c r="C16" i="15"/>
  <c r="C20" i="15"/>
  <c r="C24" i="15"/>
  <c r="C18" i="15"/>
  <c r="C19" i="15"/>
  <c r="C13" i="15"/>
  <c r="C17" i="15"/>
  <c r="C21" i="15"/>
  <c r="C25" i="15"/>
  <c r="C14" i="15"/>
  <c r="C22" i="15"/>
  <c r="C26" i="15"/>
  <c r="C15" i="15"/>
  <c r="C23" i="15"/>
  <c r="C27" i="15"/>
  <c r="F5" i="13"/>
  <c r="I5" i="13" s="1"/>
  <c r="G3" i="13"/>
  <c r="G12" i="13"/>
  <c r="I13" i="13"/>
  <c r="G5" i="13"/>
  <c r="G19" i="13"/>
  <c r="F6" i="13"/>
  <c r="I6" i="13" s="1"/>
  <c r="G14" i="13"/>
  <c r="F12" i="13"/>
  <c r="I12" i="13" s="1"/>
  <c r="G13" i="13"/>
  <c r="F9" i="13"/>
  <c r="I9" i="13" s="1"/>
  <c r="F16" i="13"/>
  <c r="I16" i="13" s="1"/>
  <c r="F10" i="13"/>
  <c r="I10" i="13" s="1"/>
  <c r="F14" i="13"/>
  <c r="I14" i="13" s="1"/>
  <c r="F18" i="13"/>
  <c r="I18" i="13" s="1"/>
  <c r="G7" i="13"/>
  <c r="F4" i="13"/>
  <c r="I4" i="13" s="1"/>
  <c r="G9" i="13"/>
  <c r="G15" i="13"/>
  <c r="F8" i="13"/>
  <c r="I8" i="13" s="1"/>
  <c r="F19" i="13"/>
  <c r="I19" i="13" s="1"/>
  <c r="F7" i="13"/>
  <c r="I7" i="13" s="1"/>
  <c r="G16" i="13"/>
  <c r="D2" i="13"/>
  <c r="C2" i="13"/>
  <c r="G4" i="13"/>
  <c r="E2" i="13"/>
  <c r="G8" i="13"/>
  <c r="G6" i="13"/>
  <c r="F11" i="13"/>
  <c r="I11" i="13" s="1"/>
  <c r="G17" i="13"/>
  <c r="F15" i="13"/>
  <c r="I15" i="13" s="1"/>
  <c r="G11" i="13"/>
  <c r="F3" i="13"/>
  <c r="I3" i="13" s="1"/>
  <c r="G18" i="13"/>
  <c r="G10" i="13"/>
  <c r="F17" i="13"/>
  <c r="I17" i="13" s="1"/>
  <c r="F4" i="12"/>
  <c r="F6" i="12"/>
  <c r="F3" i="12"/>
  <c r="F8" i="12"/>
  <c r="F7" i="12"/>
  <c r="F5" i="12"/>
  <c r="E8" i="12"/>
  <c r="H8" i="12" s="1"/>
  <c r="E4" i="12"/>
  <c r="H4" i="12" s="1"/>
  <c r="E5" i="12"/>
  <c r="H5" i="12" s="1"/>
  <c r="E7" i="12"/>
  <c r="H7" i="12" s="1"/>
  <c r="E6" i="12"/>
  <c r="H6" i="12" s="1"/>
  <c r="E3" i="12"/>
  <c r="H3" i="12" s="1"/>
  <c r="C2" i="12"/>
  <c r="G2" i="12" s="1"/>
  <c r="D2" i="12"/>
  <c r="B2" i="12"/>
  <c r="G2" i="13" l="1"/>
  <c r="F2" i="13"/>
  <c r="I2" i="13" s="1"/>
  <c r="F2" i="12"/>
  <c r="E2" i="12"/>
  <c r="H2" i="12" l="1"/>
  <c r="B7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<sst xmlns="http://schemas.openxmlformats.org/spreadsheetml/2006/main" count="927" uniqueCount="177">
  <si>
    <t>Window_Preset</t>
  </si>
  <si>
    <t>Start_Date</t>
  </si>
  <si>
    <t>End_Date</t>
  </si>
  <si>
    <t>Min_Spend</t>
  </si>
  <si>
    <t>Min_Purchases</t>
  </si>
  <si>
    <t>Good_ROAS</t>
  </si>
  <si>
    <t>Bad_ROAS</t>
  </si>
  <si>
    <t>Good_CPA</t>
  </si>
  <si>
    <t>Bad_CPA</t>
  </si>
  <si>
    <t>Date</t>
  </si>
  <si>
    <t>Campaign</t>
  </si>
  <si>
    <t>Adset</t>
  </si>
  <si>
    <t>Ad</t>
  </si>
  <si>
    <t>Spend</t>
  </si>
  <si>
    <t>Impressions</t>
  </si>
  <si>
    <t>Clicks</t>
  </si>
  <si>
    <t>ATC</t>
  </si>
  <si>
    <t>Purchases</t>
  </si>
  <si>
    <t>Purchases Value</t>
  </si>
  <si>
    <t xml:space="preserve">Date </t>
  </si>
  <si>
    <t>AdGroup</t>
  </si>
  <si>
    <t>Asset</t>
  </si>
  <si>
    <t>Purchase_Value</t>
  </si>
  <si>
    <t>Order_ID</t>
  </si>
  <si>
    <t>Product_ID</t>
  </si>
  <si>
    <t>Product_Title</t>
  </si>
  <si>
    <t>Quantity</t>
  </si>
  <si>
    <t>Gross_Sales</t>
  </si>
  <si>
    <t>Discounts</t>
  </si>
  <si>
    <t>Refunds</t>
  </si>
  <si>
    <t>Net_Sales</t>
  </si>
  <si>
    <t>Channel</t>
  </si>
  <si>
    <t>AddtoCart</t>
  </si>
  <si>
    <t>Revenue</t>
  </si>
  <si>
    <t>Campaign_C</t>
  </si>
  <si>
    <t>Retargeting</t>
  </si>
  <si>
    <t>Creative_1</t>
  </si>
  <si>
    <t>Campaign_A</t>
  </si>
  <si>
    <t>Creative_3</t>
  </si>
  <si>
    <t>Creative_2</t>
  </si>
  <si>
    <t>Prospecting</t>
  </si>
  <si>
    <t>Campaign_B</t>
  </si>
  <si>
    <t>PMax</t>
  </si>
  <si>
    <t>Group_2</t>
  </si>
  <si>
    <t>Headline_A</t>
  </si>
  <si>
    <t>Search_Generic</t>
  </si>
  <si>
    <t>Headline_C</t>
  </si>
  <si>
    <t>Group_3</t>
  </si>
  <si>
    <t>Search_Brand</t>
  </si>
  <si>
    <t>Headline_B</t>
  </si>
  <si>
    <t>Group_1</t>
  </si>
  <si>
    <t>ORD1000</t>
  </si>
  <si>
    <t>Collagen</t>
  </si>
  <si>
    <t>ORD1001</t>
  </si>
  <si>
    <t>Vitamin C</t>
  </si>
  <si>
    <t>ORD1002</t>
  </si>
  <si>
    <t>ORD1003</t>
  </si>
  <si>
    <t>Magnesium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</si>
  <si>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</si>
  <si>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</si>
  <si>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</si>
  <si>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</si>
  <si>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</si>
  <si>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</si>
  <si>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</si>
  <si>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</si>
  <si>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Protein Powder</t>
  </si>
  <si>
    <t>ORD1012</t>
  </si>
  <si>
    <t>Omega 3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</si>
  <si>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</si>
  <si>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</si>
  <si>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</si>
  <si>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</si>
  <si>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</si>
  <si>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</si>
  <si>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</si>
  <si>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</si>
  <si>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</si>
  <si>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</si>
  <si>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</si>
  <si>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</si>
  <si>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</si>
  <si>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</si>
  <si>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</si>
  <si>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</si>
  <si>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</si>
  <si>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</si>
  <si>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</si>
  <si>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</si>
  <si>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</si>
  <si>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</si>
  <si>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</si>
  <si>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</si>
  <si>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</si>
  <si>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</si>
  <si>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</si>
  <si>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</si>
  <si>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</si>
  <si>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</si>
  <si>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</si>
  <si>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</si>
  <si>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</si>
  <si>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</si>
  <si>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</si>
  <si>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</si>
  <si>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</si>
  <si>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</si>
  <si>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</si>
  <si>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</si>
  <si>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</si>
  <si>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</si>
  <si>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</si>
  <si>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</si>
  <si>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</si>
  <si>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</si>
  <si>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</si>
  <si>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</si>
  <si>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</si>
  <si>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</si>
  <si>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</si>
  <si>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</si>
  <si>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</si>
  <si>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</si>
  <si>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</si>
  <si>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</si>
  <si>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</si>
  <si>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</si>
  <si>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</si>
  <si>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</si>
  <si>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</si>
  <si>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</si>
  <si>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</si>
  <si>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</si>
  <si>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</si>
  <si>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</si>
  <si>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</si>
  <si>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</si>
  <si>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</si>
  <si>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</si>
  <si>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</si>
  <si>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</si>
  <si>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</si>
  <si>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</si>
  <si>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</si>
  <si>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</si>
  <si>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</si>
  <si>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</si>
  <si>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</si>
  <si>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</si>
  <si>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</si>
  <si>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</si>
  <si>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</si>
  <si>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</si>
  <si>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</si>
  <si>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</si>
  <si>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</si>
  <si>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AdSet</t>
  </si>
  <si>
    <t>AddToCart</t>
  </si>
  <si>
    <t>AddTocart</t>
  </si>
  <si>
    <t>CTR</t>
  </si>
  <si>
    <t>CVR</t>
  </si>
  <si>
    <t>CPC</t>
  </si>
  <si>
    <t>CPA</t>
  </si>
  <si>
    <t>ROAS</t>
  </si>
  <si>
    <t>Custom</t>
  </si>
  <si>
    <t>Custom_Start_Date</t>
  </si>
  <si>
    <t>Decision</t>
  </si>
  <si>
    <t>Units_Sold</t>
  </si>
  <si>
    <t>Net_Revenue</t>
  </si>
  <si>
    <t>AOV</t>
  </si>
  <si>
    <t>Total Spend</t>
  </si>
  <si>
    <t>Total Revenue</t>
  </si>
  <si>
    <t>Total Purchases</t>
  </si>
  <si>
    <t>Overall ROAS</t>
  </si>
  <si>
    <t>Top Campaign</t>
  </si>
  <si>
    <t>Top Product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</si>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</sst>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yyyy\-mm\-dd\ hh:mm:ss"/>
    <numFmt numFmtId="171" formatCode="&quot;$&quot;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65" fontId="0" fillId="0" borderId="0" xfId="0" applyNumberFormat="1"/>
    <xf numFmtId="14" fontId="1" fillId="0" borderId="0" xfId="0" applyNumberFormat="1" applyFont="1"/>
    <xf numFmtId="0" fontId="1" fillId="0" borderId="0" xfId="0" applyFont="1"/>
    <xf numFmtId="49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vertical="center"/>
    </xf>
    <xf numFmtId="2" fontId="1" fillId="0" borderId="0" xfId="0" applyNumberFormat="1" applyFont="1"/>
    <xf numFmtId="2" fontId="2" fillId="0" borderId="0" xfId="0" applyNumberFormat="1" applyFont="1" applyAlignment="1">
      <alignment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  <xf numFmtId="17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'40_Executive_Dashboard'!$C$10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'40_Executive_Dashboard'!$B$11:$B$26</c:f>
              <c:numCache>
                <c:formatCode>m/d/yyyy</c:formatCode>
                <c:ptCount val="16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</c:numCache>
            </c:numRef>
          </c:cat>
          <c:val>
            <c:numRef>
              <c:f>'40_Executive_Dashboard'!$C$11:$C$26</c:f>
              <c:numCache>
                <c:formatCode>General</c:formatCode>
                <c:ptCount val="16"/>
                <c:pt idx="0">
                  <c:v>4788.8600000000006</c:v>
                </c:pt>
                <c:pt idx="1">
                  <c:v>5707.9100000000008</c:v>
                </c:pt>
                <c:pt idx="2">
                  <c:v>6211.97</c:v>
                </c:pt>
                <c:pt idx="3">
                  <c:v>7367.29</c:v>
                </c:pt>
                <c:pt idx="4">
                  <c:v>4014.37</c:v>
                </c:pt>
                <c:pt idx="5">
                  <c:v>5120.9299999999994</c:v>
                </c:pt>
                <c:pt idx="6">
                  <c:v>4871.12</c:v>
                </c:pt>
                <c:pt idx="7">
                  <c:v>5682.76</c:v>
                </c:pt>
                <c:pt idx="8">
                  <c:v>5012</c:v>
                </c:pt>
                <c:pt idx="9">
                  <c:v>4502.74</c:v>
                </c:pt>
                <c:pt idx="10">
                  <c:v>5877.33</c:v>
                </c:pt>
                <c:pt idx="11">
                  <c:v>3865.75</c:v>
                </c:pt>
                <c:pt idx="12">
                  <c:v>7489.5300000000007</c:v>
                </c:pt>
                <c:pt idx="13">
                  <c:v>4238.3099999999995</c:v>
                </c:pt>
                <c:pt idx="14">
                  <c:v>3796.66</c:v>
                </c:pt>
                <c:pt idx="15">
                  <c:v>4986.75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B5-4356-92A9-DD8A8C2DB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102832"/>
        <c:axId val="1566103312"/>
      </c:lineChart>
      <c:dateAx>
        <c:axId val="1566102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03312"/>
        <c:crosses val="autoZero"/>
        <c:auto val="1"/>
        <c:lblOffset val="100"/>
        <c:baseTimeUnit val="days"/>
      </c:dateAx>
      <c:valAx>
        <c:axId val="15661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0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815340</xdr:colOff>
      <xdr:row>9</xdr:row>
      <xdr:rowOff>160020</xdr:rowOff>
    </xdr:from>
    <xdr:to>
      <xdr:col>7</xdr:col>
      <xdr:colOff>457200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3D4F7-5603-5D07-6A65-D620D034C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220980</xdr:colOff>
      <xdr:row>4</xdr:row>
      <xdr:rowOff>152400</xdr:rowOff>
    </xdr:from>
    <xdr:to>
      <xdr:col>1</xdr:col>
      <xdr:colOff>1333500</xdr:colOff>
      <xdr:row>7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BC8B77D-A957-6673-98C6-B489C9B88B45}"/>
            </a:ext>
          </a:extLst>
        </xdr:cNvPr>
        <xdr:cNvSpPr/>
      </xdr:nvSpPr>
      <xdr:spPr>
        <a:xfrm>
          <a:off x="1645920" y="883920"/>
          <a:ext cx="1112520" cy="43434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160020</xdr:colOff>
      <xdr:row>0</xdr:row>
      <xdr:rowOff>160020</xdr:rowOff>
    </xdr:from>
    <xdr:to>
      <xdr:col>2</xdr:col>
      <xdr:colOff>1333500</xdr:colOff>
      <xdr:row>3</xdr:row>
      <xdr:rowOff>45720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B9C8778-1937-4608-8582-361AC96CAEB7}"/>
            </a:ext>
          </a:extLst>
        </xdr:cNvPr>
        <xdr:cNvSpPr/>
      </xdr:nvSpPr>
      <xdr:spPr>
        <a:xfrm>
          <a:off x="3009900" y="160020"/>
          <a:ext cx="1173480" cy="43434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15240</xdr:colOff>
      <xdr:row>0</xdr:row>
      <xdr:rowOff>160020</xdr:rowOff>
    </xdr:from>
    <xdr:to>
      <xdr:col>3</xdr:col>
      <xdr:colOff>1303020</xdr:colOff>
      <xdr:row>3</xdr:row>
      <xdr:rowOff>45720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4B0443-344F-4A0B-BB61-745D78177FC0}"/>
            </a:ext>
          </a:extLst>
        </xdr:cNvPr>
        <xdr:cNvSpPr/>
      </xdr:nvSpPr>
      <xdr:spPr>
        <a:xfrm>
          <a:off x="4290060" y="160020"/>
          <a:ext cx="1287780" cy="43434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53340</xdr:colOff>
      <xdr:row>0</xdr:row>
      <xdr:rowOff>160020</xdr:rowOff>
    </xdr:from>
    <xdr:to>
      <xdr:col>5</xdr:col>
      <xdr:colOff>45720</xdr:colOff>
      <xdr:row>3</xdr:row>
      <xdr:rowOff>53340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D9A0DC5-E09C-489B-9968-87A6E6735289}"/>
            </a:ext>
          </a:extLst>
        </xdr:cNvPr>
        <xdr:cNvSpPr/>
      </xdr:nvSpPr>
      <xdr:spPr>
        <a:xfrm>
          <a:off x="5753100" y="160020"/>
          <a:ext cx="1417320" cy="44196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198120</xdr:colOff>
      <xdr:row>0</xdr:row>
      <xdr:rowOff>144780</xdr:rowOff>
    </xdr:from>
    <xdr:to>
      <xdr:col>1</xdr:col>
      <xdr:colOff>1310640</xdr:colOff>
      <xdr:row>3</xdr:row>
      <xdr:rowOff>30480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28B33F3-DD9B-4FC0-8D32-065315E85E26}"/>
            </a:ext>
          </a:extLst>
        </xdr:cNvPr>
        <xdr:cNvSpPr/>
      </xdr:nvSpPr>
      <xdr:spPr>
        <a:xfrm>
          <a:off x="1623060" y="144780"/>
          <a:ext cx="1112520" cy="43434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99060</xdr:colOff>
      <xdr:row>4</xdr:row>
      <xdr:rowOff>144780</xdr:rowOff>
    </xdr:from>
    <xdr:to>
      <xdr:col>5</xdr:col>
      <xdr:colOff>1211580</xdr:colOff>
      <xdr:row>7</xdr:row>
      <xdr:rowOff>30480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8F08211-D037-464C-A371-0928EA114F07}"/>
            </a:ext>
          </a:extLst>
        </xdr:cNvPr>
        <xdr:cNvSpPr/>
      </xdr:nvSpPr>
      <xdr:spPr>
        <a:xfrm>
          <a:off x="7223760" y="876300"/>
          <a:ext cx="1112520" cy="43434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1318260</xdr:colOff>
      <xdr:row>5</xdr:row>
      <xdr:rowOff>0</xdr:rowOff>
    </xdr:from>
    <xdr:to>
      <xdr:col>3</xdr:col>
      <xdr:colOff>1005840</xdr:colOff>
      <xdr:row>7</xdr:row>
      <xdr:rowOff>68580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75F9330-B0A8-4F10-A150-1D083AC4229F}"/>
            </a:ext>
          </a:extLst>
        </xdr:cNvPr>
        <xdr:cNvSpPr/>
      </xdr:nvSpPr>
      <xdr:spPr>
        <a:xfrm>
          <a:off x="4168140" y="914400"/>
          <a:ext cx="1112520" cy="43434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95CF-4F33-4E07-8B17-2D6D207848D3}">
  <dimension ref="A2:B12"/>
  <sheetViews>
    <sheetView workbookViewId="0">
      <selection activeCell="B2" sqref="B2"/>
    </sheetView>
  </sheetViews>
  <sheetFormatPr defaultRowHeight="14.4"/>
  <cols>
    <col min="1" max="1" width="16.44140625" bestFit="1" customWidth="1"/>
    <col min="2" max="2" width="9.33203125" bestFit="1" customWidth="1"/>
  </cols>
  <sheetData>
    <row r="2" spans="1:2">
      <c r="A2" s="7" t="s">
        <v>0</v>
      </c>
      <c r="B2" t="s">
        <v>164</v>
      </c>
    </row>
    <row r="3" spans="1:2">
      <c r="A3" s="7" t="s">
        <v>1</v>
      </c>
      <c r="B3" s="2">
        <f ca="1">IF(B2="Last 7", TODAY()-7,
IF(B2="Last 14", TODAY()-14,
IF(B2="Last 30", TODAY()-30,
IF(B2="MTD", EOMONTH(TODAY(),-1)+1,
IF(B2="Custom", B5,"")))))</f>
        <v>46037</v>
      </c>
    </row>
    <row r="4" spans="1:2">
      <c r="A4" s="7" t="s">
        <v>2</v>
      </c>
      <c r="B4" s="1">
        <f ca="1">TODAY()</f>
        <v>46092</v>
      </c>
    </row>
    <row r="5" spans="1:2">
      <c r="A5" s="7" t="s">
        <v>165</v>
      </c>
      <c r="B5" s="1">
        <v>46037</v>
      </c>
    </row>
    <row r="6" spans="1:2">
      <c r="A6" s="7"/>
    </row>
    <row r="7" spans="1:2">
      <c r="A7" s="7" t="s">
        <v>3</v>
      </c>
      <c r="B7">
        <v>50</v>
      </c>
    </row>
    <row r="8" spans="1:2">
      <c r="A8" s="7" t="s">
        <v>4</v>
      </c>
      <c r="B8">
        <v>2</v>
      </c>
    </row>
    <row r="9" spans="1:2">
      <c r="A9" s="7" t="s">
        <v>5</v>
      </c>
      <c r="B9">
        <v>2</v>
      </c>
    </row>
    <row r="10" spans="1:2">
      <c r="A10" s="7" t="s">
        <v>6</v>
      </c>
      <c r="B10">
        <v>1</v>
      </c>
    </row>
    <row r="11" spans="1:2">
      <c r="A11" s="7" t="s">
        <v>7</v>
      </c>
      <c r="B11">
        <v>20</v>
      </c>
    </row>
    <row r="12" spans="1:2">
      <c r="A12" s="7" t="s">
        <v>8</v>
      </c>
      <c r="B12">
        <v>40</v>
      </c>
    </row>
  </sheetData>
  <dataValidations count="1">
    <dataValidation type="list" allowBlank="1" showInputMessage="1" showErrorMessage="1" sqref="B2" xr:uid="{AAF1EB63-4645-4BFE-998E-489761E9B706}">
      <formula1>"Last 7, Last 14, Last 30, MTD, Custom"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563D-CAFA-46CE-BC69-E340F6FC0273}">
  <dimension ref="A1:K101"/>
  <sheetViews>
    <sheetView topLeftCell="A8" workbookViewId="0">
      <selection activeCell="A32" sqref="A32"/>
    </sheetView>
  </sheetViews>
  <sheetFormatPr defaultRowHeight="14.4"/>
  <cols>
    <col min="1" max="1" width="18" bestFit="1" customWidth="1"/>
    <col min="2" max="2" width="11.109375" bestFit="1" customWidth="1"/>
    <col min="3" max="3" width="10.5546875" bestFit="1" customWidth="1"/>
    <col min="4" max="4" width="9.44140625" bestFit="1" customWidth="1"/>
    <col min="5" max="5" width="7" bestFit="1" customWidth="1"/>
    <col min="6" max="6" width="11.21875" bestFit="1" customWidth="1"/>
    <col min="7" max="7" width="6.21875" bestFit="1" customWidth="1"/>
    <col min="8" max="8" width="4.21875" bestFit="1" customWidth="1"/>
    <col min="9" max="9" width="9.5546875" bestFit="1" customWidth="1"/>
    <col min="10" max="10" width="14.6640625" bestFit="1" customWidth="1"/>
  </cols>
  <sheetData>
    <row r="1" spans="1:11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/>
    </row>
    <row r="2" spans="1:11">
      <c r="A2" s="5">
        <v>46023</v>
      </c>
      <c r="B2" t="s">
        <v>34</v>
      </c>
      <c r="C2" t="s">
        <v>35</v>
      </c>
      <c r="D2" t="s">
        <v>36</v>
      </c>
      <c r="E2">
        <v>272.12</v>
      </c>
      <c r="F2">
        <v>16338</v>
      </c>
      <c r="G2">
        <v>778</v>
      </c>
      <c r="H2">
        <v>89</v>
      </c>
      <c r="I2">
        <v>5</v>
      </c>
      <c r="J2">
        <v>748.97</v>
      </c>
    </row>
    <row r="3" spans="1:11">
      <c r="A3" s="5">
        <v>46024</v>
      </c>
      <c r="B3" t="s">
        <v>37</v>
      </c>
      <c r="C3" t="s">
        <v>35</v>
      </c>
      <c r="D3" t="s">
        <v>38</v>
      </c>
      <c r="E3">
        <v>197.27</v>
      </c>
      <c r="F3">
        <v>3491</v>
      </c>
      <c r="G3">
        <v>1070</v>
      </c>
      <c r="H3">
        <v>79</v>
      </c>
      <c r="I3">
        <v>38</v>
      </c>
      <c r="J3">
        <v>1120.8</v>
      </c>
    </row>
    <row r="4" spans="1:11">
      <c r="A4" s="5">
        <v>46025</v>
      </c>
      <c r="B4" t="s">
        <v>34</v>
      </c>
      <c r="C4" t="s">
        <v>35</v>
      </c>
      <c r="D4" t="s">
        <v>39</v>
      </c>
      <c r="E4">
        <v>114.93</v>
      </c>
      <c r="F4">
        <v>16328</v>
      </c>
      <c r="G4">
        <v>810</v>
      </c>
      <c r="H4">
        <v>105</v>
      </c>
      <c r="I4">
        <v>3</v>
      </c>
      <c r="J4">
        <v>974.23</v>
      </c>
    </row>
    <row r="5" spans="1:11">
      <c r="A5" s="5">
        <v>46026</v>
      </c>
      <c r="B5" t="s">
        <v>34</v>
      </c>
      <c r="C5" t="s">
        <v>40</v>
      </c>
      <c r="D5" t="s">
        <v>36</v>
      </c>
      <c r="E5">
        <v>117.78</v>
      </c>
      <c r="F5">
        <v>15599</v>
      </c>
      <c r="G5">
        <v>725</v>
      </c>
      <c r="H5">
        <v>40</v>
      </c>
      <c r="I5">
        <v>53</v>
      </c>
      <c r="J5">
        <v>1211.06</v>
      </c>
    </row>
    <row r="6" spans="1:11">
      <c r="A6" s="5">
        <v>46027</v>
      </c>
      <c r="B6" t="s">
        <v>37</v>
      </c>
      <c r="C6" t="s">
        <v>40</v>
      </c>
      <c r="D6" t="s">
        <v>36</v>
      </c>
      <c r="E6">
        <v>223.27</v>
      </c>
      <c r="F6">
        <v>4051</v>
      </c>
      <c r="G6">
        <v>506</v>
      </c>
      <c r="H6">
        <v>103</v>
      </c>
      <c r="I6">
        <v>23</v>
      </c>
      <c r="J6">
        <v>860.57</v>
      </c>
    </row>
    <row r="7" spans="1:11">
      <c r="A7" s="5">
        <v>46028</v>
      </c>
      <c r="B7" t="s">
        <v>37</v>
      </c>
      <c r="C7" t="s">
        <v>40</v>
      </c>
      <c r="D7" t="s">
        <v>36</v>
      </c>
      <c r="E7">
        <v>271.19</v>
      </c>
      <c r="F7">
        <v>16979</v>
      </c>
      <c r="G7">
        <v>969</v>
      </c>
      <c r="H7">
        <v>23</v>
      </c>
      <c r="I7">
        <v>37</v>
      </c>
      <c r="J7">
        <v>1425.57</v>
      </c>
    </row>
    <row r="8" spans="1:11">
      <c r="A8" s="5">
        <v>46029</v>
      </c>
      <c r="B8" t="s">
        <v>34</v>
      </c>
      <c r="C8" t="s">
        <v>40</v>
      </c>
      <c r="D8" t="s">
        <v>38</v>
      </c>
      <c r="E8">
        <v>268.38</v>
      </c>
      <c r="F8">
        <v>17388</v>
      </c>
      <c r="G8">
        <v>241</v>
      </c>
      <c r="H8">
        <v>24</v>
      </c>
      <c r="I8">
        <v>53</v>
      </c>
      <c r="J8">
        <v>442.13</v>
      </c>
    </row>
    <row r="9" spans="1:11">
      <c r="A9" s="5">
        <v>46030</v>
      </c>
      <c r="B9" t="s">
        <v>41</v>
      </c>
      <c r="C9" t="s">
        <v>35</v>
      </c>
      <c r="D9" t="s">
        <v>39</v>
      </c>
      <c r="E9">
        <v>238.37</v>
      </c>
      <c r="F9">
        <v>1876</v>
      </c>
      <c r="G9">
        <v>788</v>
      </c>
      <c r="H9">
        <v>61</v>
      </c>
      <c r="I9">
        <v>37</v>
      </c>
      <c r="J9">
        <v>1423.35</v>
      </c>
    </row>
    <row r="10" spans="1:11">
      <c r="A10" s="5">
        <v>46031</v>
      </c>
      <c r="B10" t="s">
        <v>34</v>
      </c>
      <c r="C10" t="s">
        <v>40</v>
      </c>
      <c r="D10" t="s">
        <v>36</v>
      </c>
      <c r="E10">
        <v>199.77</v>
      </c>
      <c r="F10">
        <v>5142</v>
      </c>
      <c r="G10">
        <v>1172</v>
      </c>
      <c r="H10">
        <v>22</v>
      </c>
      <c r="I10">
        <v>10</v>
      </c>
      <c r="J10">
        <v>882.16</v>
      </c>
    </row>
    <row r="11" spans="1:11">
      <c r="A11" s="5">
        <v>46032</v>
      </c>
      <c r="B11" t="s">
        <v>34</v>
      </c>
      <c r="C11" t="s">
        <v>40</v>
      </c>
      <c r="D11" t="s">
        <v>36</v>
      </c>
      <c r="E11">
        <v>43.56</v>
      </c>
      <c r="F11">
        <v>16202</v>
      </c>
      <c r="G11">
        <v>1027</v>
      </c>
      <c r="H11">
        <v>51</v>
      </c>
      <c r="I11">
        <v>10</v>
      </c>
      <c r="J11">
        <v>1761.2</v>
      </c>
    </row>
    <row r="12" spans="1:11">
      <c r="A12" s="5">
        <v>46033</v>
      </c>
      <c r="B12" t="s">
        <v>34</v>
      </c>
      <c r="C12" t="s">
        <v>40</v>
      </c>
      <c r="D12" t="s">
        <v>36</v>
      </c>
      <c r="E12">
        <v>65.260000000000005</v>
      </c>
      <c r="F12">
        <v>7966</v>
      </c>
      <c r="G12">
        <v>1058</v>
      </c>
      <c r="H12">
        <v>109</v>
      </c>
      <c r="I12">
        <v>19</v>
      </c>
      <c r="J12">
        <v>1078.95</v>
      </c>
    </row>
    <row r="13" spans="1:11">
      <c r="A13" s="5">
        <v>46034</v>
      </c>
      <c r="B13" t="s">
        <v>34</v>
      </c>
      <c r="C13" t="s">
        <v>40</v>
      </c>
      <c r="D13" t="s">
        <v>38</v>
      </c>
      <c r="E13">
        <v>271.60000000000002</v>
      </c>
      <c r="F13">
        <v>8079</v>
      </c>
      <c r="G13">
        <v>145</v>
      </c>
      <c r="H13">
        <v>53</v>
      </c>
      <c r="I13">
        <v>17</v>
      </c>
      <c r="J13">
        <v>1948.91</v>
      </c>
    </row>
    <row r="14" spans="1:11">
      <c r="A14" s="5">
        <v>46035</v>
      </c>
      <c r="B14" t="s">
        <v>37</v>
      </c>
      <c r="C14" t="s">
        <v>40</v>
      </c>
      <c r="D14" t="s">
        <v>38</v>
      </c>
      <c r="E14">
        <v>189.8</v>
      </c>
      <c r="F14">
        <v>8987</v>
      </c>
      <c r="G14">
        <v>712</v>
      </c>
      <c r="H14">
        <v>18</v>
      </c>
      <c r="I14">
        <v>21</v>
      </c>
      <c r="J14">
        <v>1243.68</v>
      </c>
    </row>
    <row r="15" spans="1:11">
      <c r="A15" s="5">
        <v>46036</v>
      </c>
      <c r="B15" t="s">
        <v>34</v>
      </c>
      <c r="C15" t="s">
        <v>35</v>
      </c>
      <c r="D15" t="s">
        <v>39</v>
      </c>
      <c r="E15">
        <v>22.58</v>
      </c>
      <c r="F15">
        <v>7799</v>
      </c>
      <c r="G15">
        <v>86</v>
      </c>
      <c r="H15">
        <v>19</v>
      </c>
      <c r="I15">
        <v>14</v>
      </c>
      <c r="J15">
        <v>525.30999999999995</v>
      </c>
    </row>
    <row r="16" spans="1:11">
      <c r="A16" s="5">
        <v>46037</v>
      </c>
      <c r="B16" t="s">
        <v>41</v>
      </c>
      <c r="C16" t="s">
        <v>40</v>
      </c>
      <c r="D16" t="s">
        <v>38</v>
      </c>
      <c r="E16">
        <v>48.41</v>
      </c>
      <c r="F16">
        <v>5465</v>
      </c>
      <c r="G16">
        <v>328</v>
      </c>
      <c r="H16">
        <v>35</v>
      </c>
      <c r="I16">
        <v>9</v>
      </c>
      <c r="J16">
        <v>1661.4</v>
      </c>
    </row>
    <row r="17" spans="1:10">
      <c r="A17" s="5">
        <v>46038</v>
      </c>
      <c r="B17" t="s">
        <v>37</v>
      </c>
      <c r="C17" t="s">
        <v>35</v>
      </c>
      <c r="D17" t="s">
        <v>36</v>
      </c>
      <c r="E17">
        <v>205.78</v>
      </c>
      <c r="F17">
        <v>18019</v>
      </c>
      <c r="G17">
        <v>266</v>
      </c>
      <c r="H17">
        <v>5</v>
      </c>
      <c r="I17">
        <v>46</v>
      </c>
      <c r="J17">
        <v>755.66</v>
      </c>
    </row>
    <row r="18" spans="1:10">
      <c r="A18" s="5">
        <v>46039</v>
      </c>
      <c r="B18" t="s">
        <v>41</v>
      </c>
      <c r="C18" t="s">
        <v>40</v>
      </c>
      <c r="D18" t="s">
        <v>39</v>
      </c>
      <c r="E18">
        <v>21.42</v>
      </c>
      <c r="F18">
        <v>14417</v>
      </c>
      <c r="G18">
        <v>916</v>
      </c>
      <c r="H18">
        <v>58</v>
      </c>
      <c r="I18">
        <v>1</v>
      </c>
      <c r="J18">
        <v>760.48</v>
      </c>
    </row>
    <row r="19" spans="1:10">
      <c r="A19" s="5">
        <v>46040</v>
      </c>
      <c r="B19" t="s">
        <v>41</v>
      </c>
      <c r="C19" t="s">
        <v>35</v>
      </c>
      <c r="D19" t="s">
        <v>36</v>
      </c>
      <c r="E19">
        <v>65.03</v>
      </c>
      <c r="F19">
        <v>19077</v>
      </c>
      <c r="G19">
        <v>922</v>
      </c>
      <c r="H19">
        <v>7</v>
      </c>
      <c r="I19">
        <v>51</v>
      </c>
      <c r="J19">
        <v>160.43</v>
      </c>
    </row>
    <row r="20" spans="1:10">
      <c r="A20" s="5">
        <v>46041</v>
      </c>
      <c r="B20" t="s">
        <v>41</v>
      </c>
      <c r="C20" t="s">
        <v>40</v>
      </c>
      <c r="D20" t="s">
        <v>36</v>
      </c>
      <c r="E20">
        <v>173.65</v>
      </c>
      <c r="F20">
        <v>9311</v>
      </c>
      <c r="G20">
        <v>111</v>
      </c>
      <c r="H20">
        <v>20</v>
      </c>
      <c r="I20">
        <v>45</v>
      </c>
      <c r="J20">
        <v>1142.56</v>
      </c>
    </row>
    <row r="21" spans="1:10">
      <c r="A21" s="5">
        <v>46042</v>
      </c>
      <c r="B21" t="s">
        <v>41</v>
      </c>
      <c r="C21" t="s">
        <v>40</v>
      </c>
      <c r="D21" t="s">
        <v>38</v>
      </c>
      <c r="E21">
        <v>213.73</v>
      </c>
      <c r="F21">
        <v>18214</v>
      </c>
      <c r="G21">
        <v>645</v>
      </c>
      <c r="H21">
        <v>91</v>
      </c>
      <c r="I21">
        <v>13</v>
      </c>
      <c r="J21">
        <v>1115.4000000000001</v>
      </c>
    </row>
    <row r="22" spans="1:10">
      <c r="A22" s="5">
        <v>46043</v>
      </c>
      <c r="B22" t="s">
        <v>37</v>
      </c>
      <c r="C22" t="s">
        <v>35</v>
      </c>
      <c r="D22" t="s">
        <v>39</v>
      </c>
      <c r="E22">
        <v>202.55</v>
      </c>
      <c r="F22">
        <v>15098</v>
      </c>
      <c r="G22">
        <v>778</v>
      </c>
      <c r="H22">
        <v>61</v>
      </c>
      <c r="I22">
        <v>4</v>
      </c>
      <c r="J22">
        <v>776.38</v>
      </c>
    </row>
    <row r="23" spans="1:10">
      <c r="A23" s="5">
        <v>46044</v>
      </c>
      <c r="B23" t="s">
        <v>37</v>
      </c>
      <c r="C23" t="s">
        <v>35</v>
      </c>
      <c r="D23" t="s">
        <v>38</v>
      </c>
      <c r="E23">
        <v>82.8</v>
      </c>
      <c r="F23">
        <v>6177</v>
      </c>
      <c r="G23">
        <v>446</v>
      </c>
      <c r="H23">
        <v>79</v>
      </c>
      <c r="I23">
        <v>1</v>
      </c>
      <c r="J23">
        <v>1799.01</v>
      </c>
    </row>
    <row r="24" spans="1:10">
      <c r="A24" s="5">
        <v>46045</v>
      </c>
      <c r="B24" t="s">
        <v>41</v>
      </c>
      <c r="C24" t="s">
        <v>35</v>
      </c>
      <c r="D24" t="s">
        <v>38</v>
      </c>
      <c r="E24">
        <v>219.41</v>
      </c>
      <c r="F24">
        <v>15262</v>
      </c>
      <c r="G24">
        <v>748</v>
      </c>
      <c r="H24">
        <v>16</v>
      </c>
      <c r="I24">
        <v>49</v>
      </c>
      <c r="J24">
        <v>344.62</v>
      </c>
    </row>
    <row r="25" spans="1:10">
      <c r="A25" s="5">
        <v>46046</v>
      </c>
      <c r="B25" t="s">
        <v>41</v>
      </c>
      <c r="C25" t="s">
        <v>40</v>
      </c>
      <c r="D25" t="s">
        <v>39</v>
      </c>
      <c r="E25">
        <v>86.43</v>
      </c>
      <c r="F25">
        <v>9308</v>
      </c>
      <c r="G25">
        <v>1092</v>
      </c>
      <c r="H25">
        <v>78</v>
      </c>
      <c r="I25">
        <v>40</v>
      </c>
      <c r="J25">
        <v>727.19</v>
      </c>
    </row>
    <row r="26" spans="1:10">
      <c r="A26" s="5">
        <v>46047</v>
      </c>
      <c r="B26" t="s">
        <v>37</v>
      </c>
      <c r="C26" t="s">
        <v>35</v>
      </c>
      <c r="D26" t="s">
        <v>36</v>
      </c>
      <c r="E26">
        <v>111.11</v>
      </c>
      <c r="F26">
        <v>6949</v>
      </c>
      <c r="G26">
        <v>226</v>
      </c>
      <c r="H26">
        <v>100</v>
      </c>
      <c r="I26">
        <v>32</v>
      </c>
      <c r="J26">
        <v>711.01</v>
      </c>
    </row>
    <row r="27" spans="1:10">
      <c r="A27" s="5">
        <v>46048</v>
      </c>
      <c r="B27" t="s">
        <v>37</v>
      </c>
      <c r="C27" t="s">
        <v>40</v>
      </c>
      <c r="D27" t="s">
        <v>36</v>
      </c>
      <c r="E27">
        <v>229.02</v>
      </c>
      <c r="F27">
        <v>2150</v>
      </c>
      <c r="G27">
        <v>445</v>
      </c>
      <c r="H27">
        <v>20</v>
      </c>
      <c r="I27">
        <v>34</v>
      </c>
      <c r="J27">
        <v>275.35000000000002</v>
      </c>
    </row>
    <row r="28" spans="1:10">
      <c r="A28" s="5">
        <v>46049</v>
      </c>
      <c r="B28" t="s">
        <v>37</v>
      </c>
      <c r="C28" t="s">
        <v>40</v>
      </c>
      <c r="D28" t="s">
        <v>39</v>
      </c>
      <c r="E28">
        <v>201.9</v>
      </c>
      <c r="F28">
        <v>2931</v>
      </c>
      <c r="G28">
        <v>494</v>
      </c>
      <c r="H28">
        <v>76</v>
      </c>
      <c r="I28">
        <v>28</v>
      </c>
      <c r="J28">
        <v>1014.18</v>
      </c>
    </row>
    <row r="29" spans="1:10">
      <c r="A29" s="5">
        <v>46050</v>
      </c>
      <c r="B29" t="s">
        <v>34</v>
      </c>
      <c r="C29" t="s">
        <v>35</v>
      </c>
      <c r="D29" t="s">
        <v>36</v>
      </c>
      <c r="E29">
        <v>257.77999999999997</v>
      </c>
      <c r="F29">
        <v>10204</v>
      </c>
      <c r="G29">
        <v>125</v>
      </c>
      <c r="H29">
        <v>106</v>
      </c>
      <c r="I29">
        <v>31</v>
      </c>
      <c r="J29">
        <v>1406.79</v>
      </c>
    </row>
    <row r="30" spans="1:10">
      <c r="A30" s="5">
        <v>46051</v>
      </c>
      <c r="B30" t="s">
        <v>34</v>
      </c>
      <c r="C30" t="s">
        <v>35</v>
      </c>
      <c r="D30" t="s">
        <v>39</v>
      </c>
      <c r="E30">
        <v>204.13</v>
      </c>
      <c r="F30">
        <v>19048</v>
      </c>
      <c r="G30">
        <v>314</v>
      </c>
      <c r="H30">
        <v>80</v>
      </c>
      <c r="I30">
        <v>8</v>
      </c>
      <c r="J30">
        <v>1072.1500000000001</v>
      </c>
    </row>
    <row r="31" spans="1:10">
      <c r="A31" s="5">
        <v>46052</v>
      </c>
      <c r="B31" t="s">
        <v>34</v>
      </c>
      <c r="C31" t="s">
        <v>40</v>
      </c>
      <c r="D31" t="s">
        <v>39</v>
      </c>
      <c r="E31">
        <v>179.13</v>
      </c>
      <c r="F31">
        <v>2081</v>
      </c>
      <c r="G31">
        <v>504</v>
      </c>
      <c r="H31">
        <v>28</v>
      </c>
      <c r="I31">
        <v>39</v>
      </c>
      <c r="J31">
        <v>398.26</v>
      </c>
    </row>
    <row r="32" spans="1:10">
      <c r="A32" s="5">
        <v>46023</v>
      </c>
      <c r="B32" t="s">
        <v>41</v>
      </c>
      <c r="C32" t="s">
        <v>40</v>
      </c>
      <c r="D32" t="s">
        <v>38</v>
      </c>
      <c r="E32">
        <v>46.23</v>
      </c>
      <c r="F32">
        <v>17896</v>
      </c>
      <c r="G32">
        <v>767</v>
      </c>
      <c r="H32">
        <v>32</v>
      </c>
      <c r="I32">
        <v>26</v>
      </c>
      <c r="J32">
        <v>816.84</v>
      </c>
    </row>
    <row r="33" spans="1:10">
      <c r="A33" s="5">
        <v>46024</v>
      </c>
      <c r="B33" t="s">
        <v>34</v>
      </c>
      <c r="C33" t="s">
        <v>35</v>
      </c>
      <c r="D33" t="s">
        <v>39</v>
      </c>
      <c r="E33">
        <v>122.96</v>
      </c>
      <c r="F33">
        <v>14407</v>
      </c>
      <c r="G33">
        <v>784</v>
      </c>
      <c r="H33">
        <v>12</v>
      </c>
      <c r="I33">
        <v>58</v>
      </c>
      <c r="J33">
        <v>104.93</v>
      </c>
    </row>
    <row r="34" spans="1:10">
      <c r="A34" s="5">
        <v>46025</v>
      </c>
      <c r="B34" t="s">
        <v>41</v>
      </c>
      <c r="C34" t="s">
        <v>35</v>
      </c>
      <c r="D34" t="s">
        <v>38</v>
      </c>
      <c r="E34">
        <v>94.26</v>
      </c>
      <c r="F34">
        <v>8805</v>
      </c>
      <c r="G34">
        <v>900</v>
      </c>
      <c r="H34">
        <v>96</v>
      </c>
      <c r="I34">
        <v>34</v>
      </c>
      <c r="J34">
        <v>1749.77</v>
      </c>
    </row>
    <row r="35" spans="1:10">
      <c r="A35" s="5">
        <v>46026</v>
      </c>
      <c r="B35" t="s">
        <v>41</v>
      </c>
      <c r="C35" t="s">
        <v>35</v>
      </c>
      <c r="D35" t="s">
        <v>36</v>
      </c>
      <c r="E35">
        <v>88.32</v>
      </c>
      <c r="F35">
        <v>6237</v>
      </c>
      <c r="G35">
        <v>193</v>
      </c>
      <c r="H35">
        <v>40</v>
      </c>
      <c r="I35">
        <v>54</v>
      </c>
      <c r="J35">
        <v>260.58</v>
      </c>
    </row>
    <row r="36" spans="1:10">
      <c r="A36" s="5">
        <v>46027</v>
      </c>
      <c r="B36" t="s">
        <v>34</v>
      </c>
      <c r="C36" t="s">
        <v>40</v>
      </c>
      <c r="D36" t="s">
        <v>36</v>
      </c>
      <c r="E36">
        <v>292.44</v>
      </c>
      <c r="F36">
        <v>17943</v>
      </c>
      <c r="G36">
        <v>934</v>
      </c>
      <c r="H36">
        <v>94</v>
      </c>
      <c r="I36">
        <v>54</v>
      </c>
      <c r="J36">
        <v>1234.83</v>
      </c>
    </row>
    <row r="37" spans="1:10">
      <c r="A37" s="5">
        <v>46028</v>
      </c>
      <c r="B37" t="s">
        <v>41</v>
      </c>
      <c r="C37" t="s">
        <v>40</v>
      </c>
      <c r="D37" t="s">
        <v>36</v>
      </c>
      <c r="E37">
        <v>130.07</v>
      </c>
      <c r="F37">
        <v>13775</v>
      </c>
      <c r="G37">
        <v>1142</v>
      </c>
      <c r="H37">
        <v>12</v>
      </c>
      <c r="I37">
        <v>3</v>
      </c>
      <c r="J37">
        <v>1973.89</v>
      </c>
    </row>
    <row r="38" spans="1:10">
      <c r="A38" s="5">
        <v>46029</v>
      </c>
      <c r="B38" t="s">
        <v>34</v>
      </c>
      <c r="C38" t="s">
        <v>40</v>
      </c>
      <c r="D38" t="s">
        <v>36</v>
      </c>
      <c r="E38">
        <v>269.77</v>
      </c>
      <c r="F38">
        <v>17244</v>
      </c>
      <c r="G38">
        <v>1172</v>
      </c>
      <c r="H38">
        <v>62</v>
      </c>
      <c r="I38">
        <v>59</v>
      </c>
      <c r="J38">
        <v>1119.52</v>
      </c>
    </row>
    <row r="39" spans="1:10">
      <c r="A39" s="5">
        <v>46030</v>
      </c>
      <c r="B39" t="s">
        <v>34</v>
      </c>
      <c r="C39" t="s">
        <v>40</v>
      </c>
      <c r="D39" t="s">
        <v>38</v>
      </c>
      <c r="E39">
        <v>196.72</v>
      </c>
      <c r="F39">
        <v>14184</v>
      </c>
      <c r="G39">
        <v>445</v>
      </c>
      <c r="H39">
        <v>64</v>
      </c>
      <c r="I39">
        <v>50</v>
      </c>
      <c r="J39">
        <v>1855.68</v>
      </c>
    </row>
    <row r="40" spans="1:10">
      <c r="A40" s="5">
        <v>46031</v>
      </c>
      <c r="B40" t="s">
        <v>37</v>
      </c>
      <c r="C40" t="s">
        <v>40</v>
      </c>
      <c r="D40" t="s">
        <v>36</v>
      </c>
      <c r="E40">
        <v>242.55</v>
      </c>
      <c r="F40">
        <v>4343</v>
      </c>
      <c r="G40">
        <v>1098</v>
      </c>
      <c r="H40">
        <v>54</v>
      </c>
      <c r="I40">
        <v>12</v>
      </c>
      <c r="J40">
        <v>548.62</v>
      </c>
    </row>
    <row r="41" spans="1:10">
      <c r="A41" s="5">
        <v>46032</v>
      </c>
      <c r="B41" t="s">
        <v>34</v>
      </c>
      <c r="C41" t="s">
        <v>40</v>
      </c>
      <c r="D41" t="s">
        <v>39</v>
      </c>
      <c r="E41">
        <v>160.74</v>
      </c>
      <c r="F41">
        <v>14500</v>
      </c>
      <c r="G41">
        <v>997</v>
      </c>
      <c r="H41">
        <v>32</v>
      </c>
      <c r="I41">
        <v>1</v>
      </c>
      <c r="J41">
        <v>1543.92</v>
      </c>
    </row>
    <row r="42" spans="1:10">
      <c r="A42" s="5">
        <v>46033</v>
      </c>
      <c r="B42" t="s">
        <v>37</v>
      </c>
      <c r="C42" t="s">
        <v>35</v>
      </c>
      <c r="D42" t="s">
        <v>39</v>
      </c>
      <c r="E42">
        <v>181.53</v>
      </c>
      <c r="F42">
        <v>10662</v>
      </c>
      <c r="G42">
        <v>940</v>
      </c>
      <c r="H42">
        <v>96</v>
      </c>
      <c r="I42">
        <v>54</v>
      </c>
      <c r="J42">
        <v>1109.4000000000001</v>
      </c>
    </row>
    <row r="43" spans="1:10">
      <c r="A43" s="5">
        <v>46034</v>
      </c>
      <c r="B43" t="s">
        <v>34</v>
      </c>
      <c r="C43" t="s">
        <v>40</v>
      </c>
      <c r="D43" t="s">
        <v>39</v>
      </c>
      <c r="E43">
        <v>157.9</v>
      </c>
      <c r="F43">
        <v>17964</v>
      </c>
      <c r="G43">
        <v>618</v>
      </c>
      <c r="H43">
        <v>105</v>
      </c>
      <c r="I43">
        <v>44</v>
      </c>
      <c r="J43">
        <v>1468.98</v>
      </c>
    </row>
    <row r="44" spans="1:10">
      <c r="A44" s="5">
        <v>46035</v>
      </c>
      <c r="B44" t="s">
        <v>34</v>
      </c>
      <c r="C44" t="s">
        <v>40</v>
      </c>
      <c r="D44" t="s">
        <v>38</v>
      </c>
      <c r="E44">
        <v>74.67</v>
      </c>
      <c r="F44">
        <v>16125</v>
      </c>
      <c r="G44">
        <v>1112</v>
      </c>
      <c r="H44">
        <v>45</v>
      </c>
      <c r="I44">
        <v>5</v>
      </c>
      <c r="J44">
        <v>218.45</v>
      </c>
    </row>
    <row r="45" spans="1:10">
      <c r="A45" s="5">
        <v>46036</v>
      </c>
      <c r="B45" t="s">
        <v>37</v>
      </c>
      <c r="C45" t="s">
        <v>40</v>
      </c>
      <c r="D45" t="s">
        <v>36</v>
      </c>
      <c r="E45">
        <v>222.29</v>
      </c>
      <c r="F45">
        <v>9130</v>
      </c>
      <c r="G45">
        <v>158</v>
      </c>
      <c r="H45">
        <v>104</v>
      </c>
      <c r="I45">
        <v>30</v>
      </c>
      <c r="J45">
        <v>380.7</v>
      </c>
    </row>
    <row r="46" spans="1:10">
      <c r="A46" s="5">
        <v>46037</v>
      </c>
      <c r="B46" t="s">
        <v>37</v>
      </c>
      <c r="C46" t="s">
        <v>35</v>
      </c>
      <c r="D46" t="s">
        <v>36</v>
      </c>
      <c r="E46">
        <v>98.62</v>
      </c>
      <c r="F46">
        <v>2679</v>
      </c>
      <c r="G46">
        <v>1115</v>
      </c>
      <c r="H46">
        <v>68</v>
      </c>
      <c r="I46">
        <v>30</v>
      </c>
      <c r="J46">
        <v>352.92</v>
      </c>
    </row>
    <row r="47" spans="1:10">
      <c r="A47" s="5">
        <v>46038</v>
      </c>
      <c r="B47" t="s">
        <v>34</v>
      </c>
      <c r="C47" t="s">
        <v>40</v>
      </c>
      <c r="D47" t="s">
        <v>36</v>
      </c>
      <c r="E47">
        <v>26.81</v>
      </c>
      <c r="F47">
        <v>4506</v>
      </c>
      <c r="G47">
        <v>984</v>
      </c>
      <c r="H47">
        <v>31</v>
      </c>
      <c r="I47">
        <v>59</v>
      </c>
      <c r="J47">
        <v>1405.61</v>
      </c>
    </row>
    <row r="48" spans="1:10">
      <c r="A48" s="5">
        <v>46039</v>
      </c>
      <c r="B48" t="s">
        <v>41</v>
      </c>
      <c r="C48" t="s">
        <v>40</v>
      </c>
      <c r="D48" t="s">
        <v>38</v>
      </c>
      <c r="E48">
        <v>200.73</v>
      </c>
      <c r="F48">
        <v>14284</v>
      </c>
      <c r="G48">
        <v>447</v>
      </c>
      <c r="H48">
        <v>67</v>
      </c>
      <c r="I48">
        <v>57</v>
      </c>
      <c r="J48">
        <v>1704.44</v>
      </c>
    </row>
    <row r="49" spans="1:10">
      <c r="A49" s="5">
        <v>46040</v>
      </c>
      <c r="B49" t="s">
        <v>37</v>
      </c>
      <c r="C49" t="s">
        <v>35</v>
      </c>
      <c r="D49" t="s">
        <v>39</v>
      </c>
      <c r="E49">
        <v>69.59</v>
      </c>
      <c r="F49">
        <v>8253</v>
      </c>
      <c r="G49">
        <v>683</v>
      </c>
      <c r="H49">
        <v>21</v>
      </c>
      <c r="I49">
        <v>17</v>
      </c>
      <c r="J49">
        <v>1524.27</v>
      </c>
    </row>
    <row r="50" spans="1:10">
      <c r="A50" s="5">
        <v>46041</v>
      </c>
      <c r="B50" t="s">
        <v>41</v>
      </c>
      <c r="C50" t="s">
        <v>40</v>
      </c>
      <c r="D50" t="s">
        <v>39</v>
      </c>
      <c r="E50">
        <v>283.33</v>
      </c>
      <c r="F50">
        <v>10435</v>
      </c>
      <c r="G50">
        <v>782</v>
      </c>
      <c r="H50">
        <v>77</v>
      </c>
      <c r="I50">
        <v>48</v>
      </c>
      <c r="J50">
        <v>157.9</v>
      </c>
    </row>
    <row r="51" spans="1:10">
      <c r="A51" s="5">
        <v>46042</v>
      </c>
      <c r="B51" t="s">
        <v>41</v>
      </c>
      <c r="C51" t="s">
        <v>40</v>
      </c>
      <c r="D51" t="s">
        <v>36</v>
      </c>
      <c r="E51">
        <v>287.10000000000002</v>
      </c>
      <c r="F51">
        <v>12310</v>
      </c>
      <c r="G51">
        <v>284</v>
      </c>
      <c r="H51">
        <v>37</v>
      </c>
      <c r="I51">
        <v>47</v>
      </c>
      <c r="J51">
        <v>1747.71</v>
      </c>
    </row>
    <row r="52" spans="1:10">
      <c r="A52" s="5">
        <v>46043</v>
      </c>
      <c r="B52" t="s">
        <v>41</v>
      </c>
      <c r="C52" t="s">
        <v>40</v>
      </c>
      <c r="D52" t="s">
        <v>39</v>
      </c>
      <c r="E52">
        <v>276.16000000000003</v>
      </c>
      <c r="F52">
        <v>14296</v>
      </c>
      <c r="G52">
        <v>707</v>
      </c>
      <c r="H52">
        <v>88</v>
      </c>
      <c r="I52">
        <v>23</v>
      </c>
      <c r="J52">
        <v>772.88</v>
      </c>
    </row>
    <row r="53" spans="1:10">
      <c r="A53" s="5">
        <v>46044</v>
      </c>
      <c r="B53" t="s">
        <v>37</v>
      </c>
      <c r="C53" t="s">
        <v>40</v>
      </c>
      <c r="D53" t="s">
        <v>39</v>
      </c>
      <c r="E53">
        <v>123.64</v>
      </c>
      <c r="F53">
        <v>19525</v>
      </c>
      <c r="G53">
        <v>800</v>
      </c>
      <c r="H53">
        <v>81</v>
      </c>
      <c r="I53">
        <v>15</v>
      </c>
      <c r="J53">
        <v>854.61</v>
      </c>
    </row>
    <row r="54" spans="1:10">
      <c r="A54" s="5">
        <v>46045</v>
      </c>
      <c r="B54" t="s">
        <v>41</v>
      </c>
      <c r="C54" t="s">
        <v>40</v>
      </c>
      <c r="D54" t="s">
        <v>38</v>
      </c>
      <c r="E54">
        <v>24.33</v>
      </c>
      <c r="F54">
        <v>14245</v>
      </c>
      <c r="G54">
        <v>637</v>
      </c>
      <c r="H54">
        <v>96</v>
      </c>
      <c r="I54">
        <v>37</v>
      </c>
      <c r="J54">
        <v>299.25</v>
      </c>
    </row>
    <row r="55" spans="1:10">
      <c r="A55" s="5">
        <v>46046</v>
      </c>
      <c r="B55" t="s">
        <v>37</v>
      </c>
      <c r="C55" t="s">
        <v>35</v>
      </c>
      <c r="D55" t="s">
        <v>38</v>
      </c>
      <c r="E55">
        <v>279.93</v>
      </c>
      <c r="F55">
        <v>12151</v>
      </c>
      <c r="G55">
        <v>1082</v>
      </c>
      <c r="H55">
        <v>116</v>
      </c>
      <c r="I55">
        <v>21</v>
      </c>
      <c r="J55">
        <v>1501.07</v>
      </c>
    </row>
    <row r="56" spans="1:10">
      <c r="A56" s="5">
        <v>46047</v>
      </c>
      <c r="B56" t="s">
        <v>41</v>
      </c>
      <c r="C56" t="s">
        <v>35</v>
      </c>
      <c r="D56" t="s">
        <v>38</v>
      </c>
      <c r="E56">
        <v>139.88999999999999</v>
      </c>
      <c r="F56">
        <v>11457</v>
      </c>
      <c r="G56">
        <v>1147</v>
      </c>
      <c r="H56">
        <v>33</v>
      </c>
      <c r="I56">
        <v>14</v>
      </c>
      <c r="J56">
        <v>446.34</v>
      </c>
    </row>
    <row r="57" spans="1:10">
      <c r="A57" s="5">
        <v>46048</v>
      </c>
      <c r="B57" t="s">
        <v>34</v>
      </c>
      <c r="C57" t="s">
        <v>35</v>
      </c>
      <c r="D57" t="s">
        <v>38</v>
      </c>
      <c r="E57">
        <v>290.66000000000003</v>
      </c>
      <c r="F57">
        <v>3479</v>
      </c>
      <c r="G57">
        <v>1003</v>
      </c>
      <c r="H57">
        <v>17</v>
      </c>
      <c r="I57">
        <v>2</v>
      </c>
      <c r="J57">
        <v>1171.53</v>
      </c>
    </row>
    <row r="58" spans="1:10">
      <c r="A58" s="5">
        <v>46049</v>
      </c>
      <c r="B58" t="s">
        <v>34</v>
      </c>
      <c r="C58" t="s">
        <v>40</v>
      </c>
      <c r="D58" t="s">
        <v>36</v>
      </c>
      <c r="E58">
        <v>289.81</v>
      </c>
      <c r="F58">
        <v>5452</v>
      </c>
      <c r="G58">
        <v>541</v>
      </c>
      <c r="H58">
        <v>50</v>
      </c>
      <c r="I58">
        <v>11</v>
      </c>
      <c r="J58">
        <v>1697.35</v>
      </c>
    </row>
    <row r="59" spans="1:10">
      <c r="A59" s="5">
        <v>46050</v>
      </c>
      <c r="B59" t="s">
        <v>37</v>
      </c>
      <c r="C59" t="s">
        <v>40</v>
      </c>
      <c r="D59" t="s">
        <v>38</v>
      </c>
      <c r="E59">
        <v>258.83999999999997</v>
      </c>
      <c r="F59">
        <v>6881</v>
      </c>
      <c r="G59">
        <v>962</v>
      </c>
      <c r="H59">
        <v>39</v>
      </c>
      <c r="I59">
        <v>51</v>
      </c>
      <c r="J59">
        <v>269.49</v>
      </c>
    </row>
    <row r="60" spans="1:10">
      <c r="A60" s="5">
        <v>46051</v>
      </c>
      <c r="B60" t="s">
        <v>34</v>
      </c>
      <c r="C60" t="s">
        <v>40</v>
      </c>
      <c r="D60" t="s">
        <v>39</v>
      </c>
      <c r="E60">
        <v>102.45</v>
      </c>
      <c r="F60">
        <v>15069</v>
      </c>
      <c r="G60">
        <v>219</v>
      </c>
      <c r="H60">
        <v>10</v>
      </c>
      <c r="I60">
        <v>39</v>
      </c>
      <c r="J60">
        <v>1117.1400000000001</v>
      </c>
    </row>
    <row r="61" spans="1:10">
      <c r="A61" s="5">
        <v>46052</v>
      </c>
      <c r="B61" t="s">
        <v>34</v>
      </c>
      <c r="C61" t="s">
        <v>35</v>
      </c>
      <c r="D61" t="s">
        <v>36</v>
      </c>
      <c r="E61">
        <v>127.83</v>
      </c>
      <c r="F61">
        <v>3849</v>
      </c>
      <c r="G61">
        <v>995</v>
      </c>
      <c r="H61">
        <v>86</v>
      </c>
      <c r="I61">
        <v>38</v>
      </c>
      <c r="J61">
        <v>543.11</v>
      </c>
    </row>
    <row r="62" spans="1:10">
      <c r="A62" s="5">
        <v>46023</v>
      </c>
      <c r="B62" t="s">
        <v>41</v>
      </c>
      <c r="C62" t="s">
        <v>40</v>
      </c>
      <c r="D62" t="s">
        <v>39</v>
      </c>
      <c r="E62">
        <v>258.32</v>
      </c>
      <c r="F62">
        <v>8390</v>
      </c>
      <c r="G62">
        <v>844</v>
      </c>
      <c r="H62">
        <v>119</v>
      </c>
      <c r="I62">
        <v>34</v>
      </c>
      <c r="J62">
        <v>751.56</v>
      </c>
    </row>
    <row r="63" spans="1:10">
      <c r="A63" s="5">
        <v>46024</v>
      </c>
      <c r="B63" t="s">
        <v>37</v>
      </c>
      <c r="C63" t="s">
        <v>40</v>
      </c>
      <c r="D63" t="s">
        <v>39</v>
      </c>
      <c r="E63">
        <v>108.74</v>
      </c>
      <c r="F63">
        <v>12922</v>
      </c>
      <c r="G63">
        <v>683</v>
      </c>
      <c r="H63">
        <v>73</v>
      </c>
      <c r="I63">
        <v>38</v>
      </c>
      <c r="J63">
        <v>1000.54</v>
      </c>
    </row>
    <row r="64" spans="1:10">
      <c r="A64" s="5">
        <v>46025</v>
      </c>
      <c r="B64" t="s">
        <v>41</v>
      </c>
      <c r="C64" t="s">
        <v>35</v>
      </c>
      <c r="D64" t="s">
        <v>39</v>
      </c>
      <c r="E64">
        <v>67.459999999999994</v>
      </c>
      <c r="F64">
        <v>3489</v>
      </c>
      <c r="G64">
        <v>78</v>
      </c>
      <c r="H64">
        <v>51</v>
      </c>
      <c r="I64">
        <v>50</v>
      </c>
      <c r="J64">
        <v>774.7</v>
      </c>
    </row>
    <row r="65" spans="1:10">
      <c r="A65" s="5">
        <v>46026</v>
      </c>
      <c r="B65" t="s">
        <v>41</v>
      </c>
      <c r="C65" t="s">
        <v>40</v>
      </c>
      <c r="D65" t="s">
        <v>38</v>
      </c>
      <c r="E65">
        <v>175.9</v>
      </c>
      <c r="F65">
        <v>10823</v>
      </c>
      <c r="G65">
        <v>388</v>
      </c>
      <c r="H65">
        <v>29</v>
      </c>
      <c r="I65">
        <v>34</v>
      </c>
      <c r="J65">
        <v>1332.76</v>
      </c>
    </row>
    <row r="66" spans="1:10">
      <c r="A66" s="5">
        <v>46027</v>
      </c>
      <c r="B66" t="s">
        <v>41</v>
      </c>
      <c r="C66" t="s">
        <v>35</v>
      </c>
      <c r="D66" t="s">
        <v>38</v>
      </c>
      <c r="E66">
        <v>282.12</v>
      </c>
      <c r="F66">
        <v>10207</v>
      </c>
      <c r="G66">
        <v>549</v>
      </c>
      <c r="H66">
        <v>70</v>
      </c>
      <c r="I66">
        <v>18</v>
      </c>
      <c r="J66">
        <v>1011.21</v>
      </c>
    </row>
    <row r="67" spans="1:10">
      <c r="A67" s="5">
        <v>46028</v>
      </c>
      <c r="B67" t="s">
        <v>41</v>
      </c>
      <c r="C67" t="s">
        <v>35</v>
      </c>
      <c r="D67" t="s">
        <v>36</v>
      </c>
      <c r="E67">
        <v>214.89</v>
      </c>
      <c r="F67">
        <v>10540</v>
      </c>
      <c r="G67">
        <v>560</v>
      </c>
      <c r="H67">
        <v>14</v>
      </c>
      <c r="I67">
        <v>30</v>
      </c>
      <c r="J67">
        <v>1209.98</v>
      </c>
    </row>
    <row r="68" spans="1:10">
      <c r="A68" s="5">
        <v>46029</v>
      </c>
      <c r="B68" t="s">
        <v>41</v>
      </c>
      <c r="C68" t="s">
        <v>35</v>
      </c>
      <c r="D68" t="s">
        <v>36</v>
      </c>
      <c r="E68">
        <v>179.62</v>
      </c>
      <c r="F68">
        <v>17364</v>
      </c>
      <c r="G68">
        <v>266</v>
      </c>
      <c r="H68">
        <v>60</v>
      </c>
      <c r="I68">
        <v>15</v>
      </c>
      <c r="J68">
        <v>1499.96</v>
      </c>
    </row>
    <row r="69" spans="1:10">
      <c r="A69" s="5">
        <v>46030</v>
      </c>
      <c r="B69" t="s">
        <v>41</v>
      </c>
      <c r="C69" t="s">
        <v>40</v>
      </c>
      <c r="D69" t="s">
        <v>38</v>
      </c>
      <c r="E69">
        <v>47.21</v>
      </c>
      <c r="F69">
        <v>5611</v>
      </c>
      <c r="G69">
        <v>1143</v>
      </c>
      <c r="H69">
        <v>34</v>
      </c>
      <c r="I69">
        <v>27</v>
      </c>
      <c r="J69">
        <v>1159.71</v>
      </c>
    </row>
    <row r="70" spans="1:10">
      <c r="A70" s="5">
        <v>46031</v>
      </c>
      <c r="B70" t="s">
        <v>41</v>
      </c>
      <c r="C70" t="s">
        <v>40</v>
      </c>
      <c r="D70" t="s">
        <v>39</v>
      </c>
      <c r="E70">
        <v>192.2</v>
      </c>
      <c r="F70">
        <v>6878</v>
      </c>
      <c r="G70">
        <v>494</v>
      </c>
      <c r="H70">
        <v>118</v>
      </c>
      <c r="I70">
        <v>51</v>
      </c>
      <c r="J70">
        <v>1214.42</v>
      </c>
    </row>
    <row r="71" spans="1:10">
      <c r="A71" s="5">
        <v>46032</v>
      </c>
      <c r="B71" t="s">
        <v>37</v>
      </c>
      <c r="C71" t="s">
        <v>40</v>
      </c>
      <c r="D71" t="s">
        <v>36</v>
      </c>
      <c r="E71">
        <v>297.22000000000003</v>
      </c>
      <c r="F71">
        <v>17347</v>
      </c>
      <c r="G71">
        <v>925</v>
      </c>
      <c r="H71">
        <v>113</v>
      </c>
      <c r="I71">
        <v>34</v>
      </c>
      <c r="J71">
        <v>1172.47</v>
      </c>
    </row>
    <row r="72" spans="1:10">
      <c r="A72" s="5">
        <v>46033</v>
      </c>
      <c r="B72" t="s">
        <v>34</v>
      </c>
      <c r="C72" t="s">
        <v>40</v>
      </c>
      <c r="D72" t="s">
        <v>38</v>
      </c>
      <c r="E72">
        <v>59.22</v>
      </c>
      <c r="F72">
        <v>1851</v>
      </c>
      <c r="G72">
        <v>216</v>
      </c>
      <c r="H72">
        <v>9</v>
      </c>
      <c r="I72">
        <v>52</v>
      </c>
      <c r="J72">
        <v>819.67</v>
      </c>
    </row>
    <row r="73" spans="1:10">
      <c r="A73" s="5">
        <v>46034</v>
      </c>
      <c r="B73" t="s">
        <v>41</v>
      </c>
      <c r="C73" t="s">
        <v>40</v>
      </c>
      <c r="D73" t="s">
        <v>38</v>
      </c>
      <c r="E73">
        <v>165.13</v>
      </c>
      <c r="F73">
        <v>19071</v>
      </c>
      <c r="G73">
        <v>140</v>
      </c>
      <c r="H73">
        <v>37</v>
      </c>
      <c r="I73">
        <v>57</v>
      </c>
      <c r="J73">
        <v>741.15</v>
      </c>
    </row>
    <row r="74" spans="1:10">
      <c r="A74" s="5">
        <v>46035</v>
      </c>
      <c r="B74" t="s">
        <v>41</v>
      </c>
      <c r="C74" t="s">
        <v>40</v>
      </c>
      <c r="D74" t="s">
        <v>38</v>
      </c>
      <c r="E74">
        <v>265.66000000000003</v>
      </c>
      <c r="F74">
        <v>7833</v>
      </c>
      <c r="G74">
        <v>763</v>
      </c>
      <c r="H74">
        <v>69</v>
      </c>
      <c r="I74">
        <v>38</v>
      </c>
      <c r="J74">
        <v>1809.33</v>
      </c>
    </row>
    <row r="75" spans="1:10">
      <c r="A75" s="5">
        <v>46036</v>
      </c>
      <c r="B75" t="s">
        <v>41</v>
      </c>
      <c r="C75" t="s">
        <v>40</v>
      </c>
      <c r="D75" t="s">
        <v>39</v>
      </c>
      <c r="E75">
        <v>227.42</v>
      </c>
      <c r="F75">
        <v>12938</v>
      </c>
      <c r="G75">
        <v>88</v>
      </c>
      <c r="H75">
        <v>22</v>
      </c>
      <c r="I75">
        <v>33</v>
      </c>
      <c r="J75">
        <v>1254.3499999999999</v>
      </c>
    </row>
    <row r="76" spans="1:10">
      <c r="A76" s="5">
        <v>46037</v>
      </c>
      <c r="B76" t="s">
        <v>41</v>
      </c>
      <c r="C76" t="s">
        <v>35</v>
      </c>
      <c r="D76" t="s">
        <v>38</v>
      </c>
      <c r="E76">
        <v>215.16</v>
      </c>
      <c r="F76">
        <v>3427</v>
      </c>
      <c r="G76">
        <v>1199</v>
      </c>
      <c r="H76">
        <v>100</v>
      </c>
      <c r="I76">
        <v>24</v>
      </c>
      <c r="J76">
        <v>564.27</v>
      </c>
    </row>
    <row r="77" spans="1:10">
      <c r="A77" s="5">
        <v>46038</v>
      </c>
      <c r="B77" t="s">
        <v>41</v>
      </c>
      <c r="C77" t="s">
        <v>40</v>
      </c>
      <c r="D77" t="s">
        <v>38</v>
      </c>
      <c r="E77">
        <v>216.7</v>
      </c>
      <c r="F77">
        <v>5000</v>
      </c>
      <c r="G77">
        <v>222</v>
      </c>
      <c r="H77">
        <v>115</v>
      </c>
      <c r="I77">
        <v>15</v>
      </c>
      <c r="J77">
        <v>1046.67</v>
      </c>
    </row>
    <row r="78" spans="1:10">
      <c r="A78" s="5">
        <v>46039</v>
      </c>
      <c r="B78" t="s">
        <v>41</v>
      </c>
      <c r="C78" t="s">
        <v>35</v>
      </c>
      <c r="D78" t="s">
        <v>38</v>
      </c>
      <c r="E78">
        <v>120.66</v>
      </c>
      <c r="F78">
        <v>6052</v>
      </c>
      <c r="G78">
        <v>702</v>
      </c>
      <c r="H78">
        <v>53</v>
      </c>
      <c r="I78">
        <v>30</v>
      </c>
      <c r="J78">
        <v>727.66</v>
      </c>
    </row>
    <row r="79" spans="1:10">
      <c r="A79" s="5">
        <v>46040</v>
      </c>
      <c r="B79" t="s">
        <v>34</v>
      </c>
      <c r="C79" t="s">
        <v>40</v>
      </c>
      <c r="D79" t="s">
        <v>38</v>
      </c>
      <c r="E79">
        <v>102.21</v>
      </c>
      <c r="F79">
        <v>3738</v>
      </c>
      <c r="G79">
        <v>803</v>
      </c>
      <c r="H79">
        <v>15</v>
      </c>
      <c r="I79">
        <v>55</v>
      </c>
      <c r="J79">
        <v>1874.01</v>
      </c>
    </row>
    <row r="80" spans="1:10">
      <c r="A80" s="5">
        <v>46041</v>
      </c>
      <c r="B80" t="s">
        <v>34</v>
      </c>
      <c r="C80" t="s">
        <v>40</v>
      </c>
      <c r="D80" t="s">
        <v>36</v>
      </c>
      <c r="E80">
        <v>246.62</v>
      </c>
      <c r="F80">
        <v>6387</v>
      </c>
      <c r="G80">
        <v>1131</v>
      </c>
      <c r="H80">
        <v>89</v>
      </c>
      <c r="I80">
        <v>42</v>
      </c>
      <c r="J80">
        <v>114.32</v>
      </c>
    </row>
    <row r="81" spans="1:10">
      <c r="A81" s="5">
        <v>46042</v>
      </c>
      <c r="B81" t="s">
        <v>41</v>
      </c>
      <c r="C81" t="s">
        <v>40</v>
      </c>
      <c r="D81" t="s">
        <v>36</v>
      </c>
      <c r="E81">
        <v>246.83</v>
      </c>
      <c r="F81">
        <v>9002</v>
      </c>
      <c r="G81">
        <v>525</v>
      </c>
      <c r="H81">
        <v>30</v>
      </c>
      <c r="I81">
        <v>51</v>
      </c>
      <c r="J81">
        <v>528.13</v>
      </c>
    </row>
    <row r="82" spans="1:10">
      <c r="A82" s="5">
        <v>46043</v>
      </c>
      <c r="B82" t="s">
        <v>34</v>
      </c>
      <c r="C82" t="s">
        <v>35</v>
      </c>
      <c r="D82" t="s">
        <v>38</v>
      </c>
      <c r="E82">
        <v>262.77999999999997</v>
      </c>
      <c r="F82">
        <v>6536</v>
      </c>
      <c r="G82">
        <v>505</v>
      </c>
      <c r="H82">
        <v>67</v>
      </c>
      <c r="I82">
        <v>17</v>
      </c>
      <c r="J82">
        <v>794.18</v>
      </c>
    </row>
    <row r="83" spans="1:10">
      <c r="A83" s="5">
        <v>46044</v>
      </c>
      <c r="B83" t="s">
        <v>37</v>
      </c>
      <c r="C83" t="s">
        <v>35</v>
      </c>
      <c r="D83" t="s">
        <v>39</v>
      </c>
      <c r="E83">
        <v>275.70999999999998</v>
      </c>
      <c r="F83">
        <v>14479</v>
      </c>
      <c r="G83">
        <v>878</v>
      </c>
      <c r="H83">
        <v>93</v>
      </c>
      <c r="I83">
        <v>5</v>
      </c>
      <c r="J83">
        <v>1026.8399999999999</v>
      </c>
    </row>
    <row r="84" spans="1:10">
      <c r="A84" s="5">
        <v>46045</v>
      </c>
      <c r="B84" t="s">
        <v>41</v>
      </c>
      <c r="C84" t="s">
        <v>35</v>
      </c>
      <c r="D84" t="s">
        <v>36</v>
      </c>
      <c r="E84">
        <v>163.18</v>
      </c>
      <c r="F84">
        <v>4913</v>
      </c>
      <c r="G84">
        <v>944</v>
      </c>
      <c r="H84">
        <v>90</v>
      </c>
      <c r="I84">
        <v>29</v>
      </c>
      <c r="J84">
        <v>1716.55</v>
      </c>
    </row>
    <row r="85" spans="1:10">
      <c r="A85" s="5">
        <v>46046</v>
      </c>
      <c r="B85" t="s">
        <v>37</v>
      </c>
      <c r="C85" t="s">
        <v>35</v>
      </c>
      <c r="D85" t="s">
        <v>38</v>
      </c>
      <c r="E85">
        <v>160.41999999999999</v>
      </c>
      <c r="F85">
        <v>18450</v>
      </c>
      <c r="G85">
        <v>1074</v>
      </c>
      <c r="H85">
        <v>63</v>
      </c>
      <c r="I85">
        <v>4</v>
      </c>
      <c r="J85">
        <v>266.99</v>
      </c>
    </row>
    <row r="86" spans="1:10">
      <c r="A86" s="5">
        <v>46047</v>
      </c>
      <c r="B86" t="s">
        <v>37</v>
      </c>
      <c r="C86" t="s">
        <v>40</v>
      </c>
      <c r="D86" t="s">
        <v>36</v>
      </c>
      <c r="E86">
        <v>243.52</v>
      </c>
      <c r="F86">
        <v>11636</v>
      </c>
      <c r="G86">
        <v>436</v>
      </c>
      <c r="H86">
        <v>31</v>
      </c>
      <c r="I86">
        <v>10</v>
      </c>
      <c r="J86">
        <v>1631.14</v>
      </c>
    </row>
    <row r="87" spans="1:10">
      <c r="A87" s="5">
        <v>46048</v>
      </c>
      <c r="B87" t="s">
        <v>41</v>
      </c>
      <c r="C87" t="s">
        <v>35</v>
      </c>
      <c r="D87" t="s">
        <v>36</v>
      </c>
      <c r="E87">
        <v>201.99</v>
      </c>
      <c r="F87">
        <v>6726</v>
      </c>
      <c r="G87">
        <v>397</v>
      </c>
      <c r="H87">
        <v>53</v>
      </c>
      <c r="I87">
        <v>56</v>
      </c>
      <c r="J87">
        <v>205.74</v>
      </c>
    </row>
    <row r="88" spans="1:10">
      <c r="A88" s="5">
        <v>46049</v>
      </c>
      <c r="B88" t="s">
        <v>34</v>
      </c>
      <c r="C88" t="s">
        <v>40</v>
      </c>
      <c r="D88" t="s">
        <v>39</v>
      </c>
      <c r="E88">
        <v>216.55</v>
      </c>
      <c r="F88">
        <v>4373</v>
      </c>
      <c r="G88">
        <v>239</v>
      </c>
      <c r="H88">
        <v>81</v>
      </c>
      <c r="I88">
        <v>17</v>
      </c>
      <c r="J88">
        <v>1700.4</v>
      </c>
    </row>
    <row r="89" spans="1:10">
      <c r="A89" s="5">
        <v>46050</v>
      </c>
      <c r="B89" t="s">
        <v>37</v>
      </c>
      <c r="C89" t="s">
        <v>40</v>
      </c>
      <c r="D89" t="s">
        <v>38</v>
      </c>
      <c r="E89">
        <v>242.82</v>
      </c>
      <c r="F89">
        <v>13161</v>
      </c>
      <c r="G89">
        <v>554</v>
      </c>
      <c r="H89">
        <v>37</v>
      </c>
      <c r="I89">
        <v>10</v>
      </c>
      <c r="J89">
        <v>198.11</v>
      </c>
    </row>
    <row r="90" spans="1:10">
      <c r="A90" s="5">
        <v>46051</v>
      </c>
      <c r="B90" t="s">
        <v>41</v>
      </c>
      <c r="C90" t="s">
        <v>35</v>
      </c>
      <c r="D90" t="s">
        <v>38</v>
      </c>
      <c r="E90">
        <v>269.2</v>
      </c>
      <c r="F90">
        <v>3082</v>
      </c>
      <c r="G90">
        <v>873</v>
      </c>
      <c r="H90">
        <v>102</v>
      </c>
      <c r="I90">
        <v>17</v>
      </c>
      <c r="J90">
        <v>134.66</v>
      </c>
    </row>
    <row r="91" spans="1:10">
      <c r="A91" s="5">
        <v>46052</v>
      </c>
      <c r="B91" t="s">
        <v>37</v>
      </c>
      <c r="C91" t="s">
        <v>35</v>
      </c>
      <c r="D91" t="s">
        <v>39</v>
      </c>
      <c r="E91">
        <v>114.64</v>
      </c>
      <c r="F91">
        <v>17281</v>
      </c>
      <c r="G91">
        <v>978</v>
      </c>
      <c r="H91">
        <v>109</v>
      </c>
      <c r="I91">
        <v>20</v>
      </c>
      <c r="J91">
        <v>1424.23</v>
      </c>
    </row>
    <row r="92" spans="1:10">
      <c r="A92" s="5">
        <v>46023</v>
      </c>
      <c r="B92" t="s">
        <v>37</v>
      </c>
      <c r="C92" t="s">
        <v>35</v>
      </c>
      <c r="D92" t="s">
        <v>39</v>
      </c>
      <c r="E92">
        <v>125.16</v>
      </c>
      <c r="F92">
        <v>16305</v>
      </c>
      <c r="G92">
        <v>983</v>
      </c>
      <c r="H92">
        <v>103</v>
      </c>
      <c r="I92">
        <v>24</v>
      </c>
      <c r="J92">
        <v>1994.79</v>
      </c>
    </row>
    <row r="93" spans="1:10">
      <c r="A93" s="5">
        <v>46024</v>
      </c>
      <c r="B93" t="s">
        <v>37</v>
      </c>
      <c r="C93" t="s">
        <v>35</v>
      </c>
      <c r="D93" t="s">
        <v>38</v>
      </c>
      <c r="E93">
        <v>46.31</v>
      </c>
      <c r="F93">
        <v>10817</v>
      </c>
      <c r="G93">
        <v>1190</v>
      </c>
      <c r="H93">
        <v>5</v>
      </c>
      <c r="I93">
        <v>5</v>
      </c>
      <c r="J93">
        <v>1803.56</v>
      </c>
    </row>
    <row r="94" spans="1:10">
      <c r="A94" s="5">
        <v>46025</v>
      </c>
      <c r="B94" t="s">
        <v>37</v>
      </c>
      <c r="C94" t="s">
        <v>35</v>
      </c>
      <c r="D94" t="s">
        <v>38</v>
      </c>
      <c r="E94">
        <v>181.92</v>
      </c>
      <c r="F94">
        <v>12261</v>
      </c>
      <c r="G94">
        <v>183</v>
      </c>
      <c r="H94">
        <v>25</v>
      </c>
      <c r="I94">
        <v>34</v>
      </c>
      <c r="J94">
        <v>1194.4000000000001</v>
      </c>
    </row>
    <row r="95" spans="1:10">
      <c r="A95" s="5">
        <v>46026</v>
      </c>
      <c r="B95" t="s">
        <v>34</v>
      </c>
      <c r="C95" t="s">
        <v>35</v>
      </c>
      <c r="D95" t="s">
        <v>39</v>
      </c>
      <c r="E95">
        <v>30.06</v>
      </c>
      <c r="F95">
        <v>1417</v>
      </c>
      <c r="G95">
        <v>107</v>
      </c>
      <c r="H95">
        <v>116</v>
      </c>
      <c r="I95">
        <v>6</v>
      </c>
      <c r="J95">
        <v>1843.05</v>
      </c>
    </row>
    <row r="96" spans="1:10">
      <c r="A96" s="5">
        <v>46027</v>
      </c>
      <c r="B96" t="s">
        <v>37</v>
      </c>
      <c r="C96" t="s">
        <v>35</v>
      </c>
      <c r="D96" t="s">
        <v>36</v>
      </c>
      <c r="E96">
        <v>150.37</v>
      </c>
      <c r="F96">
        <v>9808</v>
      </c>
      <c r="G96">
        <v>734</v>
      </c>
      <c r="H96">
        <v>59</v>
      </c>
      <c r="I96">
        <v>53</v>
      </c>
      <c r="J96">
        <v>110.07</v>
      </c>
    </row>
    <row r="97" spans="1:10">
      <c r="A97" s="5">
        <v>46028</v>
      </c>
      <c r="B97" t="s">
        <v>37</v>
      </c>
      <c r="C97" t="s">
        <v>35</v>
      </c>
      <c r="D97" t="s">
        <v>36</v>
      </c>
      <c r="E97">
        <v>171.94</v>
      </c>
      <c r="F97">
        <v>4267</v>
      </c>
      <c r="G97">
        <v>721</v>
      </c>
      <c r="H97">
        <v>10</v>
      </c>
      <c r="I97">
        <v>2</v>
      </c>
      <c r="J97">
        <v>1952.63</v>
      </c>
    </row>
    <row r="98" spans="1:10">
      <c r="A98" s="5">
        <v>46029</v>
      </c>
      <c r="B98" t="s">
        <v>37</v>
      </c>
      <c r="C98" t="s">
        <v>40</v>
      </c>
      <c r="D98" t="s">
        <v>39</v>
      </c>
      <c r="E98">
        <v>100.23</v>
      </c>
      <c r="F98">
        <v>18209</v>
      </c>
      <c r="G98">
        <v>222</v>
      </c>
      <c r="H98">
        <v>96</v>
      </c>
      <c r="I98">
        <v>13</v>
      </c>
      <c r="J98">
        <v>1032.42</v>
      </c>
    </row>
    <row r="99" spans="1:10">
      <c r="A99" s="5">
        <v>46030</v>
      </c>
      <c r="B99" t="s">
        <v>34</v>
      </c>
      <c r="C99" t="s">
        <v>35</v>
      </c>
      <c r="D99" t="s">
        <v>36</v>
      </c>
      <c r="E99">
        <v>185.43</v>
      </c>
      <c r="F99">
        <v>6745</v>
      </c>
      <c r="G99">
        <v>864</v>
      </c>
      <c r="H99">
        <v>85</v>
      </c>
      <c r="I99">
        <v>43</v>
      </c>
      <c r="J99">
        <v>1473.5</v>
      </c>
    </row>
    <row r="100" spans="1:10">
      <c r="A100" s="5">
        <v>46031</v>
      </c>
      <c r="B100" t="s">
        <v>37</v>
      </c>
      <c r="C100" t="s">
        <v>35</v>
      </c>
      <c r="D100" t="s">
        <v>39</v>
      </c>
      <c r="E100">
        <v>28.54</v>
      </c>
      <c r="F100">
        <v>12338</v>
      </c>
      <c r="G100">
        <v>129</v>
      </c>
      <c r="H100">
        <v>73</v>
      </c>
      <c r="I100">
        <v>43</v>
      </c>
      <c r="J100">
        <v>1659.64</v>
      </c>
    </row>
    <row r="101" spans="1:10">
      <c r="A101" s="5">
        <v>46032</v>
      </c>
      <c r="B101" t="s">
        <v>37</v>
      </c>
      <c r="C101" t="s">
        <v>40</v>
      </c>
      <c r="D101" t="s">
        <v>36</v>
      </c>
      <c r="E101">
        <v>30.46</v>
      </c>
      <c r="F101">
        <v>1412</v>
      </c>
      <c r="G101">
        <v>935</v>
      </c>
      <c r="H101">
        <v>99</v>
      </c>
      <c r="I101">
        <v>48</v>
      </c>
      <c r="J101">
        <v>1465.07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17DB-92D2-4464-94E8-067B116C21F9}">
  <dimension ref="A1:I101"/>
  <sheetViews>
    <sheetView workbookViewId="0">
      <selection sqref="A1:I1"/>
    </sheetView>
  </sheetViews>
  <sheetFormatPr defaultRowHeight="14.4"/>
  <cols>
    <col min="1" max="1" width="18" bestFit="1" customWidth="1"/>
    <col min="2" max="2" width="14" bestFit="1" customWidth="1"/>
    <col min="3" max="3" width="8.109375" bestFit="1" customWidth="1"/>
    <col min="4" max="4" width="10.21875" bestFit="1" customWidth="1"/>
    <col min="5" max="5" width="7" bestFit="1" customWidth="1"/>
    <col min="6" max="6" width="10.77734375" bestFit="1" customWidth="1"/>
    <col min="7" max="7" width="5.88671875" bestFit="1" customWidth="1"/>
    <col min="8" max="8" width="9.5546875" bestFit="1" customWidth="1"/>
    <col min="9" max="9" width="14.109375" bestFit="1" customWidth="1"/>
  </cols>
  <sheetData>
    <row r="1" spans="1:9">
      <c r="A1" s="7" t="s">
        <v>19</v>
      </c>
      <c r="B1" s="7" t="s">
        <v>10</v>
      </c>
      <c r="C1" s="7" t="s">
        <v>20</v>
      </c>
      <c r="D1" s="7" t="s">
        <v>21</v>
      </c>
      <c r="E1" s="7" t="s">
        <v>13</v>
      </c>
      <c r="F1" s="7" t="s">
        <v>14</v>
      </c>
      <c r="G1" s="7" t="s">
        <v>15</v>
      </c>
      <c r="H1" s="7" t="s">
        <v>17</v>
      </c>
      <c r="I1" s="7" t="s">
        <v>22</v>
      </c>
    </row>
    <row r="2" spans="1:9">
      <c r="A2" s="5">
        <v>46023</v>
      </c>
      <c r="B2" t="s">
        <v>42</v>
      </c>
      <c r="C2" t="s">
        <v>43</v>
      </c>
      <c r="D2" t="s">
        <v>44</v>
      </c>
      <c r="E2">
        <v>74.66</v>
      </c>
      <c r="F2">
        <v>6922</v>
      </c>
      <c r="G2">
        <v>649</v>
      </c>
      <c r="H2">
        <v>26</v>
      </c>
      <c r="I2">
        <v>106.17</v>
      </c>
    </row>
    <row r="3" spans="1:9">
      <c r="A3" s="5">
        <v>46024</v>
      </c>
      <c r="B3" t="s">
        <v>45</v>
      </c>
      <c r="C3" t="s">
        <v>43</v>
      </c>
      <c r="D3" t="s">
        <v>46</v>
      </c>
      <c r="E3">
        <v>61.09</v>
      </c>
      <c r="F3">
        <v>1281</v>
      </c>
      <c r="G3">
        <v>217</v>
      </c>
      <c r="H3">
        <v>3</v>
      </c>
      <c r="I3">
        <v>693.78</v>
      </c>
    </row>
    <row r="4" spans="1:9">
      <c r="A4" s="5">
        <v>46025</v>
      </c>
      <c r="B4" t="s">
        <v>42</v>
      </c>
      <c r="C4" t="s">
        <v>47</v>
      </c>
      <c r="D4" t="s">
        <v>44</v>
      </c>
      <c r="E4">
        <v>133.79</v>
      </c>
      <c r="F4">
        <v>953</v>
      </c>
      <c r="G4">
        <v>842</v>
      </c>
      <c r="H4">
        <v>6</v>
      </c>
      <c r="I4">
        <v>1272.97</v>
      </c>
    </row>
    <row r="5" spans="1:9">
      <c r="A5" s="5">
        <v>46026</v>
      </c>
      <c r="B5" t="s">
        <v>48</v>
      </c>
      <c r="C5" t="s">
        <v>47</v>
      </c>
      <c r="D5" t="s">
        <v>44</v>
      </c>
      <c r="E5">
        <v>154.84</v>
      </c>
      <c r="F5">
        <v>8417</v>
      </c>
      <c r="G5">
        <v>127</v>
      </c>
      <c r="H5">
        <v>5</v>
      </c>
      <c r="I5">
        <v>636.85</v>
      </c>
    </row>
    <row r="6" spans="1:9">
      <c r="A6" s="5">
        <v>46027</v>
      </c>
      <c r="B6" t="s">
        <v>48</v>
      </c>
      <c r="C6" t="s">
        <v>47</v>
      </c>
      <c r="D6" t="s">
        <v>44</v>
      </c>
      <c r="E6">
        <v>94.73</v>
      </c>
      <c r="F6">
        <v>2324</v>
      </c>
      <c r="G6">
        <v>160</v>
      </c>
      <c r="H6">
        <v>5</v>
      </c>
      <c r="I6">
        <v>334.89</v>
      </c>
    </row>
    <row r="7" spans="1:9">
      <c r="A7" s="5">
        <v>46028</v>
      </c>
      <c r="B7" t="s">
        <v>45</v>
      </c>
      <c r="C7" t="s">
        <v>43</v>
      </c>
      <c r="D7" t="s">
        <v>49</v>
      </c>
      <c r="E7">
        <v>148.82</v>
      </c>
      <c r="F7">
        <v>2920</v>
      </c>
      <c r="G7">
        <v>834</v>
      </c>
      <c r="H7">
        <v>23</v>
      </c>
      <c r="I7">
        <v>1150.25</v>
      </c>
    </row>
    <row r="8" spans="1:9">
      <c r="A8" s="5">
        <v>46029</v>
      </c>
      <c r="B8" t="s">
        <v>45</v>
      </c>
      <c r="C8" t="s">
        <v>47</v>
      </c>
      <c r="D8" t="s">
        <v>44</v>
      </c>
      <c r="E8">
        <v>223.55</v>
      </c>
      <c r="F8">
        <v>3143</v>
      </c>
      <c r="G8">
        <v>200</v>
      </c>
      <c r="H8">
        <v>9</v>
      </c>
      <c r="I8">
        <v>1200.1099999999999</v>
      </c>
    </row>
    <row r="9" spans="1:9">
      <c r="A9" s="5">
        <v>46030</v>
      </c>
      <c r="B9" t="s">
        <v>45</v>
      </c>
      <c r="C9" t="s">
        <v>47</v>
      </c>
      <c r="D9" t="s">
        <v>44</v>
      </c>
      <c r="E9">
        <v>145.83000000000001</v>
      </c>
      <c r="F9">
        <v>5936</v>
      </c>
      <c r="G9">
        <v>212</v>
      </c>
      <c r="H9">
        <v>35</v>
      </c>
      <c r="I9">
        <v>326.73</v>
      </c>
    </row>
    <row r="10" spans="1:9">
      <c r="A10" s="5">
        <v>46031</v>
      </c>
      <c r="B10" t="s">
        <v>42</v>
      </c>
      <c r="C10" t="s">
        <v>50</v>
      </c>
      <c r="D10" t="s">
        <v>49</v>
      </c>
      <c r="E10">
        <v>184.39</v>
      </c>
      <c r="F10">
        <v>6560</v>
      </c>
      <c r="G10">
        <v>393</v>
      </c>
      <c r="H10">
        <v>20</v>
      </c>
      <c r="I10">
        <v>1174.6099999999999</v>
      </c>
    </row>
    <row r="11" spans="1:9">
      <c r="A11" s="5">
        <v>46032</v>
      </c>
      <c r="B11" t="s">
        <v>48</v>
      </c>
      <c r="C11" t="s">
        <v>50</v>
      </c>
      <c r="D11" t="s">
        <v>44</v>
      </c>
      <c r="E11">
        <v>204.25</v>
      </c>
      <c r="F11">
        <v>2040</v>
      </c>
      <c r="G11">
        <v>68</v>
      </c>
      <c r="H11">
        <v>35</v>
      </c>
      <c r="I11">
        <v>1425.16</v>
      </c>
    </row>
    <row r="12" spans="1:9">
      <c r="A12" s="5">
        <v>46033</v>
      </c>
      <c r="B12" t="s">
        <v>48</v>
      </c>
      <c r="C12" t="s">
        <v>43</v>
      </c>
      <c r="D12" t="s">
        <v>46</v>
      </c>
      <c r="E12">
        <v>247.35</v>
      </c>
      <c r="F12">
        <v>860</v>
      </c>
      <c r="G12">
        <v>556</v>
      </c>
      <c r="H12">
        <v>18</v>
      </c>
      <c r="I12">
        <v>316.26</v>
      </c>
    </row>
    <row r="13" spans="1:9">
      <c r="A13" s="5">
        <v>46034</v>
      </c>
      <c r="B13" t="s">
        <v>42</v>
      </c>
      <c r="C13" t="s">
        <v>47</v>
      </c>
      <c r="D13" t="s">
        <v>46</v>
      </c>
      <c r="E13">
        <v>156.75</v>
      </c>
      <c r="F13">
        <v>9930</v>
      </c>
      <c r="G13">
        <v>526</v>
      </c>
      <c r="H13">
        <v>17</v>
      </c>
      <c r="I13">
        <v>1174.8</v>
      </c>
    </row>
    <row r="14" spans="1:9">
      <c r="A14" s="5">
        <v>46035</v>
      </c>
      <c r="B14" t="s">
        <v>48</v>
      </c>
      <c r="C14" t="s">
        <v>47</v>
      </c>
      <c r="D14" t="s">
        <v>44</v>
      </c>
      <c r="E14">
        <v>204.61</v>
      </c>
      <c r="F14">
        <v>2439</v>
      </c>
      <c r="G14">
        <v>545</v>
      </c>
      <c r="H14">
        <v>24</v>
      </c>
      <c r="I14">
        <v>1086.17</v>
      </c>
    </row>
    <row r="15" spans="1:9">
      <c r="A15" s="5">
        <v>46036</v>
      </c>
      <c r="B15" t="s">
        <v>45</v>
      </c>
      <c r="C15" t="s">
        <v>50</v>
      </c>
      <c r="D15" t="s">
        <v>49</v>
      </c>
      <c r="E15">
        <v>241.22</v>
      </c>
      <c r="F15">
        <v>6985</v>
      </c>
      <c r="G15">
        <v>378</v>
      </c>
      <c r="H15">
        <v>3</v>
      </c>
      <c r="I15">
        <v>752.47</v>
      </c>
    </row>
    <row r="16" spans="1:9">
      <c r="A16" s="5">
        <v>46037</v>
      </c>
      <c r="B16" t="s">
        <v>45</v>
      </c>
      <c r="C16" t="s">
        <v>43</v>
      </c>
      <c r="D16" t="s">
        <v>46</v>
      </c>
      <c r="E16">
        <v>236.94</v>
      </c>
      <c r="F16">
        <v>13112</v>
      </c>
      <c r="G16">
        <v>426</v>
      </c>
      <c r="H16">
        <v>32</v>
      </c>
      <c r="I16">
        <v>162.25</v>
      </c>
    </row>
    <row r="17" spans="1:9">
      <c r="A17" s="5">
        <v>46038</v>
      </c>
      <c r="B17" t="s">
        <v>45</v>
      </c>
      <c r="C17" t="s">
        <v>50</v>
      </c>
      <c r="D17" t="s">
        <v>49</v>
      </c>
      <c r="E17">
        <v>48.15</v>
      </c>
      <c r="F17">
        <v>14150</v>
      </c>
      <c r="G17">
        <v>751</v>
      </c>
      <c r="H17">
        <v>35</v>
      </c>
      <c r="I17">
        <v>186.07</v>
      </c>
    </row>
    <row r="18" spans="1:9">
      <c r="A18" s="5">
        <v>46039</v>
      </c>
      <c r="B18" t="s">
        <v>48</v>
      </c>
      <c r="C18" t="s">
        <v>50</v>
      </c>
      <c r="D18" t="s">
        <v>49</v>
      </c>
      <c r="E18">
        <v>110.5</v>
      </c>
      <c r="F18">
        <v>8770</v>
      </c>
      <c r="G18">
        <v>190</v>
      </c>
      <c r="H18">
        <v>38</v>
      </c>
      <c r="I18">
        <v>1290.43</v>
      </c>
    </row>
    <row r="19" spans="1:9">
      <c r="A19" s="5">
        <v>46040</v>
      </c>
      <c r="B19" t="s">
        <v>45</v>
      </c>
      <c r="C19" t="s">
        <v>50</v>
      </c>
      <c r="D19" t="s">
        <v>46</v>
      </c>
      <c r="E19">
        <v>91.14</v>
      </c>
      <c r="F19">
        <v>13218</v>
      </c>
      <c r="G19">
        <v>45</v>
      </c>
      <c r="H19">
        <v>13</v>
      </c>
      <c r="I19">
        <v>1486.01</v>
      </c>
    </row>
    <row r="20" spans="1:9">
      <c r="A20" s="5">
        <v>46041</v>
      </c>
      <c r="B20" t="s">
        <v>42</v>
      </c>
      <c r="C20" t="s">
        <v>50</v>
      </c>
      <c r="D20" t="s">
        <v>49</v>
      </c>
      <c r="E20">
        <v>35.43</v>
      </c>
      <c r="F20">
        <v>12561</v>
      </c>
      <c r="G20">
        <v>522</v>
      </c>
      <c r="H20">
        <v>25</v>
      </c>
      <c r="I20">
        <v>1039.99</v>
      </c>
    </row>
    <row r="21" spans="1:9">
      <c r="A21" s="5">
        <v>46042</v>
      </c>
      <c r="B21" t="s">
        <v>42</v>
      </c>
      <c r="C21" t="s">
        <v>47</v>
      </c>
      <c r="D21" t="s">
        <v>46</v>
      </c>
      <c r="E21">
        <v>163.81</v>
      </c>
      <c r="F21">
        <v>2052</v>
      </c>
      <c r="G21">
        <v>455</v>
      </c>
      <c r="H21">
        <v>9</v>
      </c>
      <c r="I21">
        <v>713.26</v>
      </c>
    </row>
    <row r="22" spans="1:9">
      <c r="A22" s="5">
        <v>46043</v>
      </c>
      <c r="B22" t="s">
        <v>48</v>
      </c>
      <c r="C22" t="s">
        <v>47</v>
      </c>
      <c r="D22" t="s">
        <v>49</v>
      </c>
      <c r="E22">
        <v>187.94</v>
      </c>
      <c r="F22">
        <v>5003</v>
      </c>
      <c r="G22">
        <v>137</v>
      </c>
      <c r="H22">
        <v>4</v>
      </c>
      <c r="I22">
        <v>999.55</v>
      </c>
    </row>
    <row r="23" spans="1:9">
      <c r="A23" s="5">
        <v>46044</v>
      </c>
      <c r="B23" t="s">
        <v>42</v>
      </c>
      <c r="C23" t="s">
        <v>50</v>
      </c>
      <c r="D23" t="s">
        <v>46</v>
      </c>
      <c r="E23">
        <v>214.31</v>
      </c>
      <c r="F23">
        <v>9163</v>
      </c>
      <c r="G23">
        <v>479</v>
      </c>
      <c r="H23">
        <v>14</v>
      </c>
      <c r="I23">
        <v>924.04</v>
      </c>
    </row>
    <row r="24" spans="1:9">
      <c r="A24" s="5">
        <v>46045</v>
      </c>
      <c r="B24" t="s">
        <v>42</v>
      </c>
      <c r="C24" t="s">
        <v>43</v>
      </c>
      <c r="D24" t="s">
        <v>44</v>
      </c>
      <c r="E24">
        <v>43.85</v>
      </c>
      <c r="F24">
        <v>10450</v>
      </c>
      <c r="G24">
        <v>340</v>
      </c>
      <c r="H24">
        <v>37</v>
      </c>
      <c r="I24">
        <v>624.73</v>
      </c>
    </row>
    <row r="25" spans="1:9">
      <c r="A25" s="5">
        <v>46046</v>
      </c>
      <c r="B25" t="s">
        <v>48</v>
      </c>
      <c r="C25" t="s">
        <v>43</v>
      </c>
      <c r="D25" t="s">
        <v>46</v>
      </c>
      <c r="E25">
        <v>220.96</v>
      </c>
      <c r="F25">
        <v>4349</v>
      </c>
      <c r="G25">
        <v>768</v>
      </c>
      <c r="H25">
        <v>34</v>
      </c>
      <c r="I25">
        <v>173.19</v>
      </c>
    </row>
    <row r="26" spans="1:9">
      <c r="A26" s="5">
        <v>46047</v>
      </c>
      <c r="B26" t="s">
        <v>45</v>
      </c>
      <c r="C26" t="s">
        <v>43</v>
      </c>
      <c r="D26" t="s">
        <v>46</v>
      </c>
      <c r="E26">
        <v>166.09</v>
      </c>
      <c r="F26">
        <v>4997</v>
      </c>
      <c r="G26">
        <v>199</v>
      </c>
      <c r="H26">
        <v>11</v>
      </c>
      <c r="I26">
        <v>1246.55</v>
      </c>
    </row>
    <row r="27" spans="1:9">
      <c r="A27" s="5">
        <v>46048</v>
      </c>
      <c r="B27" t="s">
        <v>45</v>
      </c>
      <c r="C27" t="s">
        <v>43</v>
      </c>
      <c r="D27" t="s">
        <v>46</v>
      </c>
      <c r="E27">
        <v>180.43</v>
      </c>
      <c r="F27">
        <v>7809</v>
      </c>
      <c r="G27">
        <v>575</v>
      </c>
      <c r="H27">
        <v>3</v>
      </c>
      <c r="I27">
        <v>608</v>
      </c>
    </row>
    <row r="28" spans="1:9">
      <c r="A28" s="5">
        <v>46049</v>
      </c>
      <c r="B28" t="s">
        <v>45</v>
      </c>
      <c r="C28" t="s">
        <v>50</v>
      </c>
      <c r="D28" t="s">
        <v>46</v>
      </c>
      <c r="E28">
        <v>229</v>
      </c>
      <c r="F28">
        <v>7467</v>
      </c>
      <c r="G28">
        <v>443</v>
      </c>
      <c r="H28">
        <v>28</v>
      </c>
      <c r="I28">
        <v>1242.68</v>
      </c>
    </row>
    <row r="29" spans="1:9">
      <c r="A29" s="5">
        <v>46050</v>
      </c>
      <c r="B29" t="s">
        <v>48</v>
      </c>
      <c r="C29" t="s">
        <v>47</v>
      </c>
      <c r="D29" t="s">
        <v>49</v>
      </c>
      <c r="E29">
        <v>161.82</v>
      </c>
      <c r="F29">
        <v>3122</v>
      </c>
      <c r="G29">
        <v>280</v>
      </c>
      <c r="H29">
        <v>29</v>
      </c>
      <c r="I29">
        <v>438.56</v>
      </c>
    </row>
    <row r="30" spans="1:9">
      <c r="A30" s="5">
        <v>46051</v>
      </c>
      <c r="B30" t="s">
        <v>42</v>
      </c>
      <c r="C30" t="s">
        <v>43</v>
      </c>
      <c r="D30" t="s">
        <v>44</v>
      </c>
      <c r="E30">
        <v>93.93</v>
      </c>
      <c r="F30">
        <v>10628</v>
      </c>
      <c r="G30">
        <v>788</v>
      </c>
      <c r="H30">
        <v>9</v>
      </c>
      <c r="I30">
        <v>81.459999999999994</v>
      </c>
    </row>
    <row r="31" spans="1:9">
      <c r="A31" s="5">
        <v>46052</v>
      </c>
      <c r="B31" t="s">
        <v>45</v>
      </c>
      <c r="C31" t="s">
        <v>50</v>
      </c>
      <c r="D31" t="s">
        <v>46</v>
      </c>
      <c r="E31">
        <v>208.9</v>
      </c>
      <c r="F31">
        <v>12107</v>
      </c>
      <c r="G31">
        <v>810</v>
      </c>
      <c r="H31">
        <v>3</v>
      </c>
      <c r="I31">
        <v>305.69</v>
      </c>
    </row>
    <row r="32" spans="1:9">
      <c r="A32" s="5">
        <v>46023</v>
      </c>
      <c r="B32" t="s">
        <v>45</v>
      </c>
      <c r="C32" t="s">
        <v>43</v>
      </c>
      <c r="D32" t="s">
        <v>49</v>
      </c>
      <c r="E32">
        <v>100.32</v>
      </c>
      <c r="F32">
        <v>4890</v>
      </c>
      <c r="G32">
        <v>170</v>
      </c>
      <c r="H32">
        <v>25</v>
      </c>
      <c r="I32">
        <v>745.33</v>
      </c>
    </row>
    <row r="33" spans="1:9">
      <c r="A33" s="5">
        <v>46024</v>
      </c>
      <c r="B33" t="s">
        <v>48</v>
      </c>
      <c r="C33" t="s">
        <v>43</v>
      </c>
      <c r="D33" t="s">
        <v>44</v>
      </c>
      <c r="E33">
        <v>23.04</v>
      </c>
      <c r="F33">
        <v>7760</v>
      </c>
      <c r="G33">
        <v>303</v>
      </c>
      <c r="H33">
        <v>34</v>
      </c>
      <c r="I33">
        <v>1420.91</v>
      </c>
    </row>
    <row r="34" spans="1:9">
      <c r="A34" s="5">
        <v>46025</v>
      </c>
      <c r="B34" t="s">
        <v>45</v>
      </c>
      <c r="C34" t="s">
        <v>50</v>
      </c>
      <c r="D34" t="s">
        <v>44</v>
      </c>
      <c r="E34">
        <v>210.2</v>
      </c>
      <c r="F34">
        <v>3804</v>
      </c>
      <c r="G34">
        <v>445</v>
      </c>
      <c r="H34">
        <v>12</v>
      </c>
      <c r="I34">
        <v>225.11</v>
      </c>
    </row>
    <row r="35" spans="1:9">
      <c r="A35" s="5">
        <v>46026</v>
      </c>
      <c r="B35" t="s">
        <v>48</v>
      </c>
      <c r="C35" t="s">
        <v>47</v>
      </c>
      <c r="D35" t="s">
        <v>44</v>
      </c>
      <c r="E35">
        <v>96.12</v>
      </c>
      <c r="F35">
        <v>5936</v>
      </c>
      <c r="G35">
        <v>637</v>
      </c>
      <c r="H35">
        <v>9</v>
      </c>
      <c r="I35">
        <v>1292.98</v>
      </c>
    </row>
    <row r="36" spans="1:9">
      <c r="A36" s="5">
        <v>46027</v>
      </c>
      <c r="B36" t="s">
        <v>42</v>
      </c>
      <c r="C36" t="s">
        <v>47</v>
      </c>
      <c r="D36" t="s">
        <v>44</v>
      </c>
      <c r="E36">
        <v>196.85</v>
      </c>
      <c r="F36">
        <v>1129</v>
      </c>
      <c r="G36">
        <v>768</v>
      </c>
      <c r="H36">
        <v>15</v>
      </c>
      <c r="I36">
        <v>828.37</v>
      </c>
    </row>
    <row r="37" spans="1:9">
      <c r="A37" s="5">
        <v>46028</v>
      </c>
      <c r="B37" t="s">
        <v>48</v>
      </c>
      <c r="C37" t="s">
        <v>50</v>
      </c>
      <c r="D37" t="s">
        <v>46</v>
      </c>
      <c r="E37">
        <v>100.25</v>
      </c>
      <c r="F37">
        <v>4440</v>
      </c>
      <c r="G37">
        <v>68</v>
      </c>
      <c r="H37">
        <v>25</v>
      </c>
      <c r="I37">
        <v>1252.81</v>
      </c>
    </row>
    <row r="38" spans="1:9">
      <c r="A38" s="5">
        <v>46029</v>
      </c>
      <c r="B38" t="s">
        <v>48</v>
      </c>
      <c r="C38" t="s">
        <v>47</v>
      </c>
      <c r="D38" t="s">
        <v>46</v>
      </c>
      <c r="E38">
        <v>217.35</v>
      </c>
      <c r="F38">
        <v>12886</v>
      </c>
      <c r="G38">
        <v>843</v>
      </c>
      <c r="H38">
        <v>5</v>
      </c>
      <c r="I38">
        <v>503.69</v>
      </c>
    </row>
    <row r="39" spans="1:9">
      <c r="A39" s="5">
        <v>46030</v>
      </c>
      <c r="B39" t="s">
        <v>48</v>
      </c>
      <c r="C39" t="s">
        <v>50</v>
      </c>
      <c r="D39" t="s">
        <v>49</v>
      </c>
      <c r="E39">
        <v>66.58</v>
      </c>
      <c r="F39">
        <v>14608</v>
      </c>
      <c r="G39">
        <v>58</v>
      </c>
      <c r="H39">
        <v>11</v>
      </c>
      <c r="I39">
        <v>1272.72</v>
      </c>
    </row>
    <row r="40" spans="1:9">
      <c r="A40" s="5">
        <v>46031</v>
      </c>
      <c r="B40" t="s">
        <v>48</v>
      </c>
      <c r="C40" t="s">
        <v>50</v>
      </c>
      <c r="D40" t="s">
        <v>49</v>
      </c>
      <c r="E40">
        <v>244.02</v>
      </c>
      <c r="F40">
        <v>8782</v>
      </c>
      <c r="G40">
        <v>506</v>
      </c>
      <c r="H40">
        <v>34</v>
      </c>
      <c r="I40">
        <v>1177.4100000000001</v>
      </c>
    </row>
    <row r="41" spans="1:9">
      <c r="A41" s="5">
        <v>46032</v>
      </c>
      <c r="B41" t="s">
        <v>42</v>
      </c>
      <c r="C41" t="s">
        <v>50</v>
      </c>
      <c r="D41" t="s">
        <v>49</v>
      </c>
      <c r="E41">
        <v>198.24</v>
      </c>
      <c r="F41">
        <v>4907</v>
      </c>
      <c r="G41">
        <v>347</v>
      </c>
      <c r="H41">
        <v>24</v>
      </c>
      <c r="I41">
        <v>406.68</v>
      </c>
    </row>
    <row r="42" spans="1:9">
      <c r="A42" s="5">
        <v>46033</v>
      </c>
      <c r="B42" t="s">
        <v>42</v>
      </c>
      <c r="C42" t="s">
        <v>47</v>
      </c>
      <c r="D42" t="s">
        <v>44</v>
      </c>
      <c r="E42">
        <v>41.85</v>
      </c>
      <c r="F42">
        <v>2141</v>
      </c>
      <c r="G42">
        <v>274</v>
      </c>
      <c r="H42">
        <v>15</v>
      </c>
      <c r="I42">
        <v>266.5</v>
      </c>
    </row>
    <row r="43" spans="1:9">
      <c r="A43" s="5">
        <v>46034</v>
      </c>
      <c r="B43" t="s">
        <v>45</v>
      </c>
      <c r="C43" t="s">
        <v>50</v>
      </c>
      <c r="D43" t="s">
        <v>44</v>
      </c>
      <c r="E43">
        <v>147.96</v>
      </c>
      <c r="F43">
        <v>12655</v>
      </c>
      <c r="G43">
        <v>777</v>
      </c>
      <c r="H43">
        <v>38</v>
      </c>
      <c r="I43">
        <v>1312.64</v>
      </c>
    </row>
    <row r="44" spans="1:9">
      <c r="A44" s="5">
        <v>46035</v>
      </c>
      <c r="B44" t="s">
        <v>42</v>
      </c>
      <c r="C44" t="s">
        <v>43</v>
      </c>
      <c r="D44" t="s">
        <v>46</v>
      </c>
      <c r="E44">
        <v>246.56</v>
      </c>
      <c r="F44">
        <v>9207</v>
      </c>
      <c r="G44">
        <v>726</v>
      </c>
      <c r="H44">
        <v>8</v>
      </c>
      <c r="I44">
        <v>1447.8</v>
      </c>
    </row>
    <row r="45" spans="1:9">
      <c r="A45" s="5">
        <v>46036</v>
      </c>
      <c r="B45" t="s">
        <v>42</v>
      </c>
      <c r="C45" t="s">
        <v>47</v>
      </c>
      <c r="D45" t="s">
        <v>44</v>
      </c>
      <c r="E45">
        <v>125.7</v>
      </c>
      <c r="F45">
        <v>1138</v>
      </c>
      <c r="G45">
        <v>301</v>
      </c>
      <c r="H45">
        <v>5</v>
      </c>
      <c r="I45">
        <v>124.45</v>
      </c>
    </row>
    <row r="46" spans="1:9">
      <c r="A46" s="5">
        <v>46037</v>
      </c>
      <c r="B46" t="s">
        <v>45</v>
      </c>
      <c r="C46" t="s">
        <v>47</v>
      </c>
      <c r="D46" t="s">
        <v>44</v>
      </c>
      <c r="E46">
        <v>57.8</v>
      </c>
      <c r="F46">
        <v>6695</v>
      </c>
      <c r="G46">
        <v>469</v>
      </c>
      <c r="H46">
        <v>26</v>
      </c>
      <c r="I46">
        <v>1118.4000000000001</v>
      </c>
    </row>
    <row r="47" spans="1:9">
      <c r="A47" s="5">
        <v>46038</v>
      </c>
      <c r="B47" t="s">
        <v>42</v>
      </c>
      <c r="C47" t="s">
        <v>47</v>
      </c>
      <c r="D47" t="s">
        <v>44</v>
      </c>
      <c r="E47">
        <v>128.91999999999999</v>
      </c>
      <c r="F47">
        <v>13054</v>
      </c>
      <c r="G47">
        <v>777</v>
      </c>
      <c r="H47">
        <v>18</v>
      </c>
      <c r="I47">
        <v>1371.52</v>
      </c>
    </row>
    <row r="48" spans="1:9">
      <c r="A48" s="5">
        <v>46039</v>
      </c>
      <c r="B48" t="s">
        <v>48</v>
      </c>
      <c r="C48" t="s">
        <v>47</v>
      </c>
      <c r="D48" t="s">
        <v>49</v>
      </c>
      <c r="E48">
        <v>135.43</v>
      </c>
      <c r="F48">
        <v>3508</v>
      </c>
      <c r="G48">
        <v>268</v>
      </c>
      <c r="H48">
        <v>6</v>
      </c>
      <c r="I48">
        <v>1297.45</v>
      </c>
    </row>
    <row r="49" spans="1:9">
      <c r="A49" s="5">
        <v>46040</v>
      </c>
      <c r="B49" t="s">
        <v>48</v>
      </c>
      <c r="C49" t="s">
        <v>43</v>
      </c>
      <c r="D49" t="s">
        <v>49</v>
      </c>
      <c r="E49">
        <v>189.3</v>
      </c>
      <c r="F49">
        <v>12144</v>
      </c>
      <c r="G49">
        <v>406</v>
      </c>
      <c r="H49">
        <v>37</v>
      </c>
      <c r="I49">
        <v>1449.62</v>
      </c>
    </row>
    <row r="50" spans="1:9">
      <c r="A50" s="5">
        <v>46041</v>
      </c>
      <c r="B50" t="s">
        <v>45</v>
      </c>
      <c r="C50" t="s">
        <v>47</v>
      </c>
      <c r="D50" t="s">
        <v>46</v>
      </c>
      <c r="E50">
        <v>179.23</v>
      </c>
      <c r="F50">
        <v>2550</v>
      </c>
      <c r="G50">
        <v>295</v>
      </c>
      <c r="H50">
        <v>13</v>
      </c>
      <c r="I50">
        <v>1159.33</v>
      </c>
    </row>
    <row r="51" spans="1:9">
      <c r="A51" s="5">
        <v>46042</v>
      </c>
      <c r="B51" t="s">
        <v>45</v>
      </c>
      <c r="C51" t="s">
        <v>47</v>
      </c>
      <c r="D51" t="s">
        <v>44</v>
      </c>
      <c r="E51">
        <v>109.6</v>
      </c>
      <c r="F51">
        <v>6404</v>
      </c>
      <c r="G51">
        <v>388</v>
      </c>
      <c r="H51">
        <v>28</v>
      </c>
      <c r="I51">
        <v>708.06</v>
      </c>
    </row>
    <row r="52" spans="1:9">
      <c r="A52" s="5">
        <v>46043</v>
      </c>
      <c r="B52" t="s">
        <v>45</v>
      </c>
      <c r="C52" t="s">
        <v>50</v>
      </c>
      <c r="D52" t="s">
        <v>44</v>
      </c>
      <c r="E52">
        <v>66.239999999999995</v>
      </c>
      <c r="F52">
        <v>3221</v>
      </c>
      <c r="G52">
        <v>369</v>
      </c>
      <c r="H52">
        <v>5</v>
      </c>
      <c r="I52">
        <v>522.97</v>
      </c>
    </row>
    <row r="53" spans="1:9">
      <c r="A53" s="5">
        <v>46044</v>
      </c>
      <c r="B53" t="s">
        <v>48</v>
      </c>
      <c r="C53" t="s">
        <v>47</v>
      </c>
      <c r="D53" t="s">
        <v>46</v>
      </c>
      <c r="E53">
        <v>166.59</v>
      </c>
      <c r="F53">
        <v>7919</v>
      </c>
      <c r="G53">
        <v>418</v>
      </c>
      <c r="H53">
        <v>13</v>
      </c>
      <c r="I53">
        <v>535.45000000000005</v>
      </c>
    </row>
    <row r="54" spans="1:9">
      <c r="A54" s="5">
        <v>46045</v>
      </c>
      <c r="B54" t="s">
        <v>42</v>
      </c>
      <c r="C54" t="s">
        <v>43</v>
      </c>
      <c r="D54" t="s">
        <v>44</v>
      </c>
      <c r="E54">
        <v>114.1</v>
      </c>
      <c r="F54">
        <v>9701</v>
      </c>
      <c r="G54">
        <v>606</v>
      </c>
      <c r="H54">
        <v>17</v>
      </c>
      <c r="I54">
        <v>1108.68</v>
      </c>
    </row>
    <row r="55" spans="1:9">
      <c r="A55" s="5">
        <v>46046</v>
      </c>
      <c r="B55" t="s">
        <v>48</v>
      </c>
      <c r="C55" t="s">
        <v>43</v>
      </c>
      <c r="D55" t="s">
        <v>44</v>
      </c>
      <c r="E55">
        <v>46.08</v>
      </c>
      <c r="F55">
        <v>6119</v>
      </c>
      <c r="G55">
        <v>718</v>
      </c>
      <c r="H55">
        <v>32</v>
      </c>
      <c r="I55">
        <v>1139.0899999999999</v>
      </c>
    </row>
    <row r="56" spans="1:9">
      <c r="A56" s="5">
        <v>46047</v>
      </c>
      <c r="B56" t="s">
        <v>45</v>
      </c>
      <c r="C56" t="s">
        <v>43</v>
      </c>
      <c r="D56" t="s">
        <v>49</v>
      </c>
      <c r="E56">
        <v>226.63</v>
      </c>
      <c r="F56">
        <v>7409</v>
      </c>
      <c r="G56">
        <v>32</v>
      </c>
      <c r="H56">
        <v>29</v>
      </c>
      <c r="I56">
        <v>364.51</v>
      </c>
    </row>
    <row r="57" spans="1:9">
      <c r="A57" s="5">
        <v>46048</v>
      </c>
      <c r="B57" t="s">
        <v>42</v>
      </c>
      <c r="C57" t="s">
        <v>43</v>
      </c>
      <c r="D57" t="s">
        <v>46</v>
      </c>
      <c r="E57">
        <v>177.44</v>
      </c>
      <c r="F57">
        <v>14200</v>
      </c>
      <c r="G57">
        <v>458</v>
      </c>
      <c r="H57">
        <v>3</v>
      </c>
      <c r="I57">
        <v>1312.73</v>
      </c>
    </row>
    <row r="58" spans="1:9">
      <c r="A58" s="5">
        <v>46049</v>
      </c>
      <c r="B58" t="s">
        <v>42</v>
      </c>
      <c r="C58" t="s">
        <v>47</v>
      </c>
      <c r="D58" t="s">
        <v>46</v>
      </c>
      <c r="E58">
        <v>175.55</v>
      </c>
      <c r="F58">
        <v>6187</v>
      </c>
      <c r="G58">
        <v>171</v>
      </c>
      <c r="H58">
        <v>34</v>
      </c>
      <c r="I58">
        <v>1095.19</v>
      </c>
    </row>
    <row r="59" spans="1:9">
      <c r="A59" s="5">
        <v>46050</v>
      </c>
      <c r="B59" t="s">
        <v>48</v>
      </c>
      <c r="C59" t="s">
        <v>47</v>
      </c>
      <c r="D59" t="s">
        <v>46</v>
      </c>
      <c r="E59">
        <v>208.31</v>
      </c>
      <c r="F59">
        <v>12718</v>
      </c>
      <c r="G59">
        <v>405</v>
      </c>
      <c r="H59">
        <v>27</v>
      </c>
      <c r="I59">
        <v>879.11</v>
      </c>
    </row>
    <row r="60" spans="1:9">
      <c r="A60" s="5">
        <v>46051</v>
      </c>
      <c r="B60" t="s">
        <v>45</v>
      </c>
      <c r="C60" t="s">
        <v>43</v>
      </c>
      <c r="D60" t="s">
        <v>46</v>
      </c>
      <c r="E60">
        <v>139.47</v>
      </c>
      <c r="F60">
        <v>12634</v>
      </c>
      <c r="G60">
        <v>699</v>
      </c>
      <c r="H60">
        <v>13</v>
      </c>
      <c r="I60">
        <v>749.58</v>
      </c>
    </row>
    <row r="61" spans="1:9">
      <c r="A61" s="5">
        <v>46052</v>
      </c>
      <c r="B61" t="s">
        <v>48</v>
      </c>
      <c r="C61" t="s">
        <v>43</v>
      </c>
      <c r="D61" t="s">
        <v>49</v>
      </c>
      <c r="E61">
        <v>206.54</v>
      </c>
      <c r="F61">
        <v>4793</v>
      </c>
      <c r="G61">
        <v>353</v>
      </c>
      <c r="H61">
        <v>33</v>
      </c>
      <c r="I61">
        <v>851.39</v>
      </c>
    </row>
    <row r="62" spans="1:9">
      <c r="A62" s="5">
        <v>46023</v>
      </c>
      <c r="B62" t="s">
        <v>42</v>
      </c>
      <c r="C62" t="s">
        <v>47</v>
      </c>
      <c r="D62" t="s">
        <v>49</v>
      </c>
      <c r="E62">
        <v>132.05000000000001</v>
      </c>
      <c r="F62">
        <v>9480</v>
      </c>
      <c r="G62">
        <v>175</v>
      </c>
      <c r="H62">
        <v>6</v>
      </c>
      <c r="I62">
        <v>306.13</v>
      </c>
    </row>
    <row r="63" spans="1:9">
      <c r="A63" s="5">
        <v>46024</v>
      </c>
      <c r="B63" t="s">
        <v>48</v>
      </c>
      <c r="C63" t="s">
        <v>43</v>
      </c>
      <c r="D63" t="s">
        <v>44</v>
      </c>
      <c r="E63">
        <v>30.79</v>
      </c>
      <c r="F63">
        <v>8844</v>
      </c>
      <c r="G63">
        <v>322</v>
      </c>
      <c r="H63">
        <v>24</v>
      </c>
      <c r="I63">
        <v>369.26</v>
      </c>
    </row>
    <row r="64" spans="1:9">
      <c r="A64" s="5">
        <v>46025</v>
      </c>
      <c r="B64" t="s">
        <v>48</v>
      </c>
      <c r="C64" t="s">
        <v>50</v>
      </c>
      <c r="D64" t="s">
        <v>44</v>
      </c>
      <c r="E64">
        <v>110.23</v>
      </c>
      <c r="F64">
        <v>14649</v>
      </c>
      <c r="G64">
        <v>694</v>
      </c>
      <c r="H64">
        <v>19</v>
      </c>
      <c r="I64">
        <v>209.45</v>
      </c>
    </row>
    <row r="65" spans="1:9">
      <c r="A65" s="5">
        <v>46026</v>
      </c>
      <c r="B65" t="s">
        <v>45</v>
      </c>
      <c r="C65" t="s">
        <v>43</v>
      </c>
      <c r="D65" t="s">
        <v>44</v>
      </c>
      <c r="E65">
        <v>131.9</v>
      </c>
      <c r="F65">
        <v>9038</v>
      </c>
      <c r="G65">
        <v>461</v>
      </c>
      <c r="H65">
        <v>16</v>
      </c>
      <c r="I65">
        <v>298.19</v>
      </c>
    </row>
    <row r="66" spans="1:9">
      <c r="A66" s="5">
        <v>46027</v>
      </c>
      <c r="B66" t="s">
        <v>45</v>
      </c>
      <c r="C66" t="s">
        <v>43</v>
      </c>
      <c r="D66" t="s">
        <v>44</v>
      </c>
      <c r="E66">
        <v>184.25</v>
      </c>
      <c r="F66">
        <v>12351</v>
      </c>
      <c r="G66">
        <v>734</v>
      </c>
      <c r="H66">
        <v>28</v>
      </c>
      <c r="I66">
        <v>724.24</v>
      </c>
    </row>
    <row r="67" spans="1:9">
      <c r="A67" s="5">
        <v>46028</v>
      </c>
      <c r="B67" t="s">
        <v>42</v>
      </c>
      <c r="C67" t="s">
        <v>50</v>
      </c>
      <c r="D67" t="s">
        <v>49</v>
      </c>
      <c r="E67">
        <v>40.049999999999997</v>
      </c>
      <c r="F67">
        <v>5673</v>
      </c>
      <c r="G67">
        <v>614</v>
      </c>
      <c r="H67">
        <v>33</v>
      </c>
      <c r="I67">
        <v>833.1</v>
      </c>
    </row>
    <row r="68" spans="1:9">
      <c r="A68" s="5">
        <v>46029</v>
      </c>
      <c r="B68" t="s">
        <v>48</v>
      </c>
      <c r="C68" t="s">
        <v>50</v>
      </c>
      <c r="D68" t="s">
        <v>46</v>
      </c>
      <c r="E68">
        <v>47.9</v>
      </c>
      <c r="F68">
        <v>14127</v>
      </c>
      <c r="G68">
        <v>428</v>
      </c>
      <c r="H68">
        <v>13</v>
      </c>
      <c r="I68">
        <v>105.36</v>
      </c>
    </row>
    <row r="69" spans="1:9">
      <c r="A69" s="5">
        <v>46030</v>
      </c>
      <c r="B69" t="s">
        <v>48</v>
      </c>
      <c r="C69" t="s">
        <v>47</v>
      </c>
      <c r="D69" t="s">
        <v>49</v>
      </c>
      <c r="E69">
        <v>76.97</v>
      </c>
      <c r="F69">
        <v>5606</v>
      </c>
      <c r="G69">
        <v>846</v>
      </c>
      <c r="H69">
        <v>25</v>
      </c>
      <c r="I69">
        <v>1211.45</v>
      </c>
    </row>
    <row r="70" spans="1:9">
      <c r="A70" s="5">
        <v>46031</v>
      </c>
      <c r="B70" t="s">
        <v>48</v>
      </c>
      <c r="C70" t="s">
        <v>47</v>
      </c>
      <c r="D70" t="s">
        <v>44</v>
      </c>
      <c r="E70">
        <v>77.63</v>
      </c>
      <c r="F70">
        <v>9392</v>
      </c>
      <c r="G70">
        <v>373</v>
      </c>
      <c r="H70">
        <v>36</v>
      </c>
      <c r="I70">
        <v>497.72</v>
      </c>
    </row>
    <row r="71" spans="1:9">
      <c r="A71" s="5">
        <v>46032</v>
      </c>
      <c r="B71" t="s">
        <v>42</v>
      </c>
      <c r="C71" t="s">
        <v>50</v>
      </c>
      <c r="D71" t="s">
        <v>49</v>
      </c>
      <c r="E71">
        <v>187.06</v>
      </c>
      <c r="F71">
        <v>12982</v>
      </c>
      <c r="G71">
        <v>169</v>
      </c>
      <c r="H71">
        <v>27</v>
      </c>
      <c r="I71">
        <v>1374.81</v>
      </c>
    </row>
    <row r="72" spans="1:9">
      <c r="A72" s="5">
        <v>46033</v>
      </c>
      <c r="B72" t="s">
        <v>42</v>
      </c>
      <c r="C72" t="s">
        <v>50</v>
      </c>
      <c r="D72" t="s">
        <v>46</v>
      </c>
      <c r="E72">
        <v>73.92</v>
      </c>
      <c r="F72">
        <v>6713</v>
      </c>
      <c r="G72">
        <v>216</v>
      </c>
      <c r="H72">
        <v>38</v>
      </c>
      <c r="I72">
        <v>1453.87</v>
      </c>
    </row>
    <row r="73" spans="1:9">
      <c r="A73" s="5">
        <v>46034</v>
      </c>
      <c r="B73" t="s">
        <v>45</v>
      </c>
      <c r="C73" t="s">
        <v>47</v>
      </c>
      <c r="D73" t="s">
        <v>46</v>
      </c>
      <c r="E73">
        <v>163.78</v>
      </c>
      <c r="F73">
        <v>7924</v>
      </c>
      <c r="G73">
        <v>834</v>
      </c>
      <c r="H73">
        <v>7</v>
      </c>
      <c r="I73">
        <v>343.35</v>
      </c>
    </row>
    <row r="74" spans="1:9">
      <c r="A74" s="5">
        <v>46035</v>
      </c>
      <c r="B74" t="s">
        <v>45</v>
      </c>
      <c r="C74" t="s">
        <v>43</v>
      </c>
      <c r="D74" t="s">
        <v>49</v>
      </c>
      <c r="E74">
        <v>131.15</v>
      </c>
      <c r="F74">
        <v>3957</v>
      </c>
      <c r="G74">
        <v>90</v>
      </c>
      <c r="H74">
        <v>5</v>
      </c>
      <c r="I74">
        <v>736.18</v>
      </c>
    </row>
    <row r="75" spans="1:9">
      <c r="A75" s="5">
        <v>46036</v>
      </c>
      <c r="B75" t="s">
        <v>45</v>
      </c>
      <c r="C75" t="s">
        <v>50</v>
      </c>
      <c r="D75" t="s">
        <v>49</v>
      </c>
      <c r="E75">
        <v>149.72</v>
      </c>
      <c r="F75">
        <v>13337</v>
      </c>
      <c r="G75">
        <v>409</v>
      </c>
      <c r="H75">
        <v>31</v>
      </c>
      <c r="I75">
        <v>81.75</v>
      </c>
    </row>
    <row r="76" spans="1:9">
      <c r="A76" s="5">
        <v>46037</v>
      </c>
      <c r="B76" t="s">
        <v>48</v>
      </c>
      <c r="C76" t="s">
        <v>47</v>
      </c>
      <c r="D76" t="s">
        <v>49</v>
      </c>
      <c r="E76">
        <v>211.96</v>
      </c>
      <c r="F76">
        <v>1190</v>
      </c>
      <c r="G76">
        <v>739</v>
      </c>
      <c r="H76">
        <v>23</v>
      </c>
      <c r="I76">
        <v>929.62</v>
      </c>
    </row>
    <row r="77" spans="1:9">
      <c r="A77" s="5">
        <v>46038</v>
      </c>
      <c r="B77" t="s">
        <v>48</v>
      </c>
      <c r="C77" t="s">
        <v>43</v>
      </c>
      <c r="D77" t="s">
        <v>44</v>
      </c>
      <c r="E77">
        <v>110.03</v>
      </c>
      <c r="F77">
        <v>12845</v>
      </c>
      <c r="G77">
        <v>836</v>
      </c>
      <c r="H77">
        <v>10</v>
      </c>
      <c r="I77">
        <v>942.38</v>
      </c>
    </row>
    <row r="78" spans="1:9">
      <c r="A78" s="5">
        <v>46039</v>
      </c>
      <c r="B78" t="s">
        <v>45</v>
      </c>
      <c r="C78" t="s">
        <v>50</v>
      </c>
      <c r="D78" t="s">
        <v>49</v>
      </c>
      <c r="E78">
        <v>196.16</v>
      </c>
      <c r="F78">
        <v>5230</v>
      </c>
      <c r="G78">
        <v>469</v>
      </c>
      <c r="H78">
        <v>32</v>
      </c>
      <c r="I78">
        <v>431.51</v>
      </c>
    </row>
    <row r="79" spans="1:9">
      <c r="A79" s="5">
        <v>46040</v>
      </c>
      <c r="B79" t="s">
        <v>48</v>
      </c>
      <c r="C79" t="s">
        <v>43</v>
      </c>
      <c r="D79" t="s">
        <v>49</v>
      </c>
      <c r="E79">
        <v>114.18</v>
      </c>
      <c r="F79">
        <v>9620</v>
      </c>
      <c r="G79">
        <v>348</v>
      </c>
      <c r="H79">
        <v>30</v>
      </c>
      <c r="I79">
        <v>872.95</v>
      </c>
    </row>
    <row r="80" spans="1:9">
      <c r="A80" s="5">
        <v>46041</v>
      </c>
      <c r="B80" t="s">
        <v>45</v>
      </c>
      <c r="C80" t="s">
        <v>47</v>
      </c>
      <c r="D80" t="s">
        <v>49</v>
      </c>
      <c r="E80">
        <v>98.16</v>
      </c>
      <c r="F80">
        <v>8486</v>
      </c>
      <c r="G80">
        <v>331</v>
      </c>
      <c r="H80">
        <v>39</v>
      </c>
      <c r="I80">
        <v>400.27</v>
      </c>
    </row>
    <row r="81" spans="1:9">
      <c r="A81" s="5">
        <v>46042</v>
      </c>
      <c r="B81" t="s">
        <v>42</v>
      </c>
      <c r="C81" t="s">
        <v>50</v>
      </c>
      <c r="D81" t="s">
        <v>46</v>
      </c>
      <c r="E81">
        <v>240.28</v>
      </c>
      <c r="F81">
        <v>5032</v>
      </c>
      <c r="G81">
        <v>373</v>
      </c>
      <c r="H81">
        <v>31</v>
      </c>
      <c r="I81">
        <v>308.37</v>
      </c>
    </row>
    <row r="82" spans="1:9">
      <c r="A82" s="5">
        <v>46043</v>
      </c>
      <c r="B82" t="s">
        <v>45</v>
      </c>
      <c r="C82" t="s">
        <v>43</v>
      </c>
      <c r="D82" t="s">
        <v>46</v>
      </c>
      <c r="E82">
        <v>58.33</v>
      </c>
      <c r="F82">
        <v>11922</v>
      </c>
      <c r="G82">
        <v>40</v>
      </c>
      <c r="H82">
        <v>18</v>
      </c>
      <c r="I82">
        <v>1005.16</v>
      </c>
    </row>
    <row r="83" spans="1:9">
      <c r="A83" s="5">
        <v>46044</v>
      </c>
      <c r="B83" t="s">
        <v>42</v>
      </c>
      <c r="C83" t="s">
        <v>50</v>
      </c>
      <c r="D83" t="s">
        <v>44</v>
      </c>
      <c r="E83">
        <v>36.229999999999997</v>
      </c>
      <c r="F83">
        <v>8807</v>
      </c>
      <c r="G83">
        <v>91</v>
      </c>
      <c r="H83">
        <v>36</v>
      </c>
      <c r="I83">
        <v>542.80999999999995</v>
      </c>
    </row>
    <row r="84" spans="1:9">
      <c r="A84" s="5">
        <v>46045</v>
      </c>
      <c r="B84" t="s">
        <v>48</v>
      </c>
      <c r="C84" t="s">
        <v>43</v>
      </c>
      <c r="D84" t="s">
        <v>44</v>
      </c>
      <c r="E84">
        <v>196.18</v>
      </c>
      <c r="F84">
        <v>2321</v>
      </c>
      <c r="G84">
        <v>874</v>
      </c>
      <c r="H84">
        <v>2</v>
      </c>
      <c r="I84">
        <v>918.17</v>
      </c>
    </row>
    <row r="85" spans="1:9">
      <c r="A85" s="5">
        <v>46046</v>
      </c>
      <c r="B85" t="s">
        <v>45</v>
      </c>
      <c r="C85" t="s">
        <v>47</v>
      </c>
      <c r="D85" t="s">
        <v>46</v>
      </c>
      <c r="E85">
        <v>31.04</v>
      </c>
      <c r="F85">
        <v>9818</v>
      </c>
      <c r="G85">
        <v>255</v>
      </c>
      <c r="H85">
        <v>14</v>
      </c>
      <c r="I85">
        <v>695.21</v>
      </c>
    </row>
    <row r="86" spans="1:9">
      <c r="A86" s="5">
        <v>46047</v>
      </c>
      <c r="B86" t="s">
        <v>48</v>
      </c>
      <c r="C86" t="s">
        <v>47</v>
      </c>
      <c r="D86" t="s">
        <v>46</v>
      </c>
      <c r="E86">
        <v>211.71</v>
      </c>
      <c r="F86">
        <v>13814</v>
      </c>
      <c r="G86">
        <v>182</v>
      </c>
      <c r="H86">
        <v>13</v>
      </c>
      <c r="I86">
        <v>1477.78</v>
      </c>
    </row>
    <row r="87" spans="1:9">
      <c r="A87" s="5">
        <v>46048</v>
      </c>
      <c r="B87" t="s">
        <v>42</v>
      </c>
      <c r="C87" t="s">
        <v>50</v>
      </c>
      <c r="D87" t="s">
        <v>46</v>
      </c>
      <c r="E87">
        <v>117.74</v>
      </c>
      <c r="F87">
        <v>2300</v>
      </c>
      <c r="G87">
        <v>740</v>
      </c>
      <c r="H87">
        <v>29</v>
      </c>
      <c r="I87">
        <v>292.39999999999998</v>
      </c>
    </row>
    <row r="88" spans="1:9">
      <c r="A88" s="5">
        <v>46049</v>
      </c>
      <c r="B88" t="s">
        <v>42</v>
      </c>
      <c r="C88" t="s">
        <v>43</v>
      </c>
      <c r="D88" t="s">
        <v>49</v>
      </c>
      <c r="E88">
        <v>230.15</v>
      </c>
      <c r="F88">
        <v>7537</v>
      </c>
      <c r="G88">
        <v>593</v>
      </c>
      <c r="H88">
        <v>12</v>
      </c>
      <c r="I88">
        <v>739.73</v>
      </c>
    </row>
    <row r="89" spans="1:9">
      <c r="A89" s="5">
        <v>46050</v>
      </c>
      <c r="B89" t="s">
        <v>42</v>
      </c>
      <c r="C89" t="s">
        <v>50</v>
      </c>
      <c r="D89" t="s">
        <v>49</v>
      </c>
      <c r="E89">
        <v>184.56</v>
      </c>
      <c r="F89">
        <v>4094</v>
      </c>
      <c r="G89">
        <v>801</v>
      </c>
      <c r="H89">
        <v>39</v>
      </c>
      <c r="I89">
        <v>1046.25</v>
      </c>
    </row>
    <row r="90" spans="1:9">
      <c r="A90" s="5">
        <v>46051</v>
      </c>
      <c r="B90" t="s">
        <v>48</v>
      </c>
      <c r="C90" t="s">
        <v>50</v>
      </c>
      <c r="D90" t="s">
        <v>46</v>
      </c>
      <c r="E90">
        <v>158.44999999999999</v>
      </c>
      <c r="F90">
        <v>5885</v>
      </c>
      <c r="G90">
        <v>600</v>
      </c>
      <c r="H90">
        <v>2</v>
      </c>
      <c r="I90">
        <v>641.66999999999996</v>
      </c>
    </row>
    <row r="91" spans="1:9">
      <c r="A91" s="5">
        <v>46052</v>
      </c>
      <c r="B91" t="s">
        <v>48</v>
      </c>
      <c r="C91" t="s">
        <v>43</v>
      </c>
      <c r="D91" t="s">
        <v>49</v>
      </c>
      <c r="E91">
        <v>238.09</v>
      </c>
      <c r="F91">
        <v>3219</v>
      </c>
      <c r="G91">
        <v>613</v>
      </c>
      <c r="H91">
        <v>32</v>
      </c>
      <c r="I91">
        <v>1464.07</v>
      </c>
    </row>
    <row r="92" spans="1:9">
      <c r="A92" s="5">
        <v>46023</v>
      </c>
      <c r="B92" t="s">
        <v>48</v>
      </c>
      <c r="C92" t="s">
        <v>43</v>
      </c>
      <c r="D92" t="s">
        <v>49</v>
      </c>
      <c r="E92">
        <v>108.21</v>
      </c>
      <c r="F92">
        <v>9926</v>
      </c>
      <c r="G92">
        <v>689</v>
      </c>
      <c r="H92">
        <v>13</v>
      </c>
      <c r="I92">
        <v>1105.08</v>
      </c>
    </row>
    <row r="93" spans="1:9">
      <c r="A93" s="5">
        <v>46024</v>
      </c>
      <c r="B93" t="s">
        <v>48</v>
      </c>
      <c r="C93" t="s">
        <v>43</v>
      </c>
      <c r="D93" t="s">
        <v>44</v>
      </c>
      <c r="E93">
        <v>239.21</v>
      </c>
      <c r="F93">
        <v>3842</v>
      </c>
      <c r="G93">
        <v>890</v>
      </c>
      <c r="H93">
        <v>27</v>
      </c>
      <c r="I93">
        <v>1012.92</v>
      </c>
    </row>
    <row r="94" spans="1:9">
      <c r="A94" s="5">
        <v>46025</v>
      </c>
      <c r="B94" t="s">
        <v>42</v>
      </c>
      <c r="C94" t="s">
        <v>47</v>
      </c>
      <c r="D94" t="s">
        <v>46</v>
      </c>
      <c r="E94">
        <v>46.73</v>
      </c>
      <c r="F94">
        <v>5297</v>
      </c>
      <c r="G94">
        <v>604</v>
      </c>
      <c r="H94">
        <v>17</v>
      </c>
      <c r="I94">
        <v>1155.02</v>
      </c>
    </row>
    <row r="95" spans="1:9">
      <c r="A95" s="5">
        <v>46026</v>
      </c>
      <c r="B95" t="s">
        <v>42</v>
      </c>
      <c r="C95" t="s">
        <v>50</v>
      </c>
      <c r="D95" t="s">
        <v>46</v>
      </c>
      <c r="E95">
        <v>128.68</v>
      </c>
      <c r="F95">
        <v>2266</v>
      </c>
      <c r="G95">
        <v>339</v>
      </c>
      <c r="H95">
        <v>31</v>
      </c>
      <c r="I95">
        <v>1432.76</v>
      </c>
    </row>
    <row r="96" spans="1:9">
      <c r="A96" s="5">
        <v>46027</v>
      </c>
      <c r="B96" t="s">
        <v>45</v>
      </c>
      <c r="C96" t="s">
        <v>50</v>
      </c>
      <c r="D96" t="s">
        <v>49</v>
      </c>
      <c r="E96">
        <v>78.430000000000007</v>
      </c>
      <c r="F96">
        <v>4361</v>
      </c>
      <c r="G96">
        <v>272</v>
      </c>
      <c r="H96">
        <v>34</v>
      </c>
      <c r="I96">
        <v>1369.1</v>
      </c>
    </row>
    <row r="97" spans="1:9">
      <c r="A97" s="5">
        <v>46028</v>
      </c>
      <c r="B97" t="s">
        <v>45</v>
      </c>
      <c r="C97" t="s">
        <v>47</v>
      </c>
      <c r="D97" t="s">
        <v>46</v>
      </c>
      <c r="E97">
        <v>141.86000000000001</v>
      </c>
      <c r="F97">
        <v>1414</v>
      </c>
      <c r="G97">
        <v>522</v>
      </c>
      <c r="H97">
        <v>24</v>
      </c>
      <c r="I97">
        <v>1108.49</v>
      </c>
    </row>
    <row r="98" spans="1:9">
      <c r="A98" s="5">
        <v>46029</v>
      </c>
      <c r="B98" t="s">
        <v>48</v>
      </c>
      <c r="C98" t="s">
        <v>43</v>
      </c>
      <c r="D98" t="s">
        <v>44</v>
      </c>
      <c r="E98">
        <v>53.07</v>
      </c>
      <c r="F98">
        <v>6192</v>
      </c>
      <c r="G98">
        <v>395</v>
      </c>
      <c r="H98">
        <v>35</v>
      </c>
      <c r="I98">
        <v>1143.81</v>
      </c>
    </row>
    <row r="99" spans="1:9">
      <c r="A99" s="5">
        <v>46030</v>
      </c>
      <c r="B99" t="s">
        <v>42</v>
      </c>
      <c r="C99" t="s">
        <v>47</v>
      </c>
      <c r="D99" t="s">
        <v>44</v>
      </c>
      <c r="E99">
        <v>212.76</v>
      </c>
      <c r="F99">
        <v>8493</v>
      </c>
      <c r="G99">
        <v>359</v>
      </c>
      <c r="H99">
        <v>6</v>
      </c>
      <c r="I99">
        <v>287.20999999999998</v>
      </c>
    </row>
    <row r="100" spans="1:9">
      <c r="A100" s="5">
        <v>46031</v>
      </c>
      <c r="B100" t="s">
        <v>42</v>
      </c>
      <c r="C100" t="s">
        <v>47</v>
      </c>
      <c r="D100" t="s">
        <v>44</v>
      </c>
      <c r="E100">
        <v>213.91</v>
      </c>
      <c r="F100">
        <v>10174</v>
      </c>
      <c r="G100">
        <v>136</v>
      </c>
      <c r="H100">
        <v>19</v>
      </c>
      <c r="I100">
        <v>225.97</v>
      </c>
    </row>
    <row r="101" spans="1:9">
      <c r="A101" s="5">
        <v>46032</v>
      </c>
      <c r="B101" t="s">
        <v>42</v>
      </c>
      <c r="C101" t="s">
        <v>47</v>
      </c>
      <c r="D101" t="s">
        <v>46</v>
      </c>
      <c r="E101">
        <v>239.48</v>
      </c>
      <c r="F101">
        <v>4023</v>
      </c>
      <c r="G101">
        <v>255</v>
      </c>
      <c r="H101">
        <v>30</v>
      </c>
      <c r="I101">
        <v>890.68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E79C-B885-4670-94CD-42880C8F0E02}">
  <dimension ref="A1:I101"/>
  <sheetViews>
    <sheetView workbookViewId="0">
      <selection sqref="A1:I1"/>
    </sheetView>
  </sheetViews>
  <sheetFormatPr defaultRowHeight="14.4"/>
  <cols>
    <col min="1" max="1" width="18" bestFit="1" customWidth="1"/>
    <col min="2" max="2" width="8.6640625" bestFit="1" customWidth="1"/>
    <col min="3" max="3" width="9.77734375" bestFit="1" customWidth="1"/>
    <col min="4" max="4" width="13.33203125" bestFit="1" customWidth="1"/>
    <col min="5" max="5" width="7.6640625" bestFit="1" customWidth="1"/>
    <col min="6" max="6" width="10.88671875" bestFit="1" customWidth="1"/>
    <col min="7" max="7" width="9" bestFit="1" customWidth="1"/>
    <col min="8" max="8" width="7.5546875" bestFit="1" customWidth="1"/>
    <col min="9" max="9" width="9" bestFit="1" customWidth="1"/>
  </cols>
  <sheetData>
    <row r="1" spans="1:9">
      <c r="A1" s="7" t="s">
        <v>9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</row>
    <row r="2" spans="1:9">
      <c r="A2" s="5">
        <v>46023</v>
      </c>
      <c r="B2" t="s">
        <v>51</v>
      </c>
      <c r="C2">
        <v>178</v>
      </c>
      <c r="D2" t="s">
        <v>52</v>
      </c>
      <c r="E2">
        <v>3</v>
      </c>
      <c r="F2">
        <v>177.71</v>
      </c>
      <c r="G2">
        <v>12.76</v>
      </c>
      <c r="H2">
        <v>2.2400000000000002</v>
      </c>
      <c r="I2">
        <v>162.71</v>
      </c>
    </row>
    <row r="3" spans="1:9">
      <c r="A3" s="5">
        <v>46024</v>
      </c>
      <c r="B3" t="s">
        <v>53</v>
      </c>
      <c r="C3">
        <v>179</v>
      </c>
      <c r="D3" t="s">
        <v>54</v>
      </c>
      <c r="E3">
        <v>3</v>
      </c>
      <c r="F3">
        <v>93.86</v>
      </c>
      <c r="G3">
        <v>5.14</v>
      </c>
      <c r="H3">
        <v>9.57</v>
      </c>
      <c r="I3">
        <v>79.150000000000006</v>
      </c>
    </row>
    <row r="4" spans="1:9">
      <c r="A4" s="5">
        <v>46025</v>
      </c>
      <c r="B4" t="s">
        <v>55</v>
      </c>
      <c r="C4">
        <v>153</v>
      </c>
      <c r="D4" t="s">
        <v>52</v>
      </c>
      <c r="E4">
        <v>2</v>
      </c>
      <c r="F4">
        <v>80.47</v>
      </c>
      <c r="G4">
        <v>12.64</v>
      </c>
      <c r="H4">
        <v>5.73</v>
      </c>
      <c r="I4">
        <v>62.099999999999987</v>
      </c>
    </row>
    <row r="5" spans="1:9">
      <c r="A5" s="5">
        <v>46026</v>
      </c>
      <c r="B5" t="s">
        <v>56</v>
      </c>
      <c r="C5">
        <v>185</v>
      </c>
      <c r="D5" t="s">
        <v>57</v>
      </c>
      <c r="E5">
        <v>1</v>
      </c>
      <c r="F5">
        <v>140.34</v>
      </c>
      <c r="G5">
        <v>1.17</v>
      </c>
      <c r="H5">
        <v>9.33</v>
      </c>
      <c r="I5">
        <v>129.84</v>
      </c>
    </row>
    <row r="6" spans="1:9">
      <c r="A6" s="5">
        <v>46027</v>
      </c>
      <c r="B6" t="s">
        <v>58</v>
      </c>
      <c r="C6">
        <v>191</v>
      </c>
      <c r="D6" t="s">
        <v>52</v>
      </c>
      <c r="E6">
        <v>1</v>
      </c>
      <c r="F6">
        <v>85.82</v>
      </c>
      <c r="G6">
        <v>2.84</v>
      </c>
      <c r="H6">
        <v>5.75</v>
      </c>
      <c r="I6">
        <v>77.22999999999999</v>
      </c>
    </row>
    <row r="7" spans="1:9">
      <c r="A7" s="5">
        <v>46028</v>
      </c>
      <c r="B7" t="s">
        <v>59</v>
      </c>
      <c r="C7">
        <v>119</v>
      </c>
      <c r="D7" t="s">
        <v>57</v>
      </c>
      <c r="E7">
        <v>3</v>
      </c>
      <c r="F7">
        <v>137.13999999999999</v>
      </c>
      <c r="G7">
        <v>5.49</v>
      </c>
      <c r="H7">
        <v>4.79</v>
      </c>
      <c r="I7">
        <v>126.86</v>
      </c>
    </row>
    <row r="8" spans="1:9">
      <c r="A8" s="5">
        <v>46029</v>
      </c>
      <c r="B8" t="s">
        <v>60</v>
      </c>
      <c r="C8">
        <v>132</v>
      </c>
      <c r="D8" t="s">
        <v>57</v>
      </c>
      <c r="E8">
        <v>1</v>
      </c>
      <c r="F8">
        <v>133.66999999999999</v>
      </c>
      <c r="G8">
        <v>11.94</v>
      </c>
      <c r="H8">
        <v>3.14</v>
      </c>
      <c r="I8">
        <v>118.59</v>
      </c>
    </row>
    <row r="9" spans="1:9">
      <c r="A9" s="5">
        <v>46030</v>
      </c>
      <c r="B9" t="s">
        <v>61</v>
      </c>
      <c r="C9">
        <v>173</v>
      </c>
      <c r="D9" t="s">
        <v>57</v>
      </c>
      <c r="E9">
        <v>1</v>
      </c>
      <c r="F9">
        <v>125.78</v>
      </c>
      <c r="G9">
        <v>13.52</v>
      </c>
      <c r="H9">
        <v>6.06</v>
      </c>
      <c r="I9">
        <v>106.2</v>
      </c>
    </row>
    <row r="10" spans="1:9">
      <c r="A10" s="5">
        <v>46031</v>
      </c>
      <c r="B10" t="s">
        <v>62</v>
      </c>
      <c r="C10">
        <v>139</v>
      </c>
      <c r="D10" t="s">
        <v>57</v>
      </c>
      <c r="E10">
        <v>1</v>
      </c>
      <c r="F10">
        <v>94.67</v>
      </c>
      <c r="G10">
        <v>8.85</v>
      </c>
      <c r="H10">
        <v>1.39</v>
      </c>
      <c r="I10">
        <v>84.43</v>
      </c>
    </row>
    <row r="11" spans="1:9">
      <c r="A11" s="5">
        <v>46032</v>
      </c>
      <c r="B11" t="s">
        <v>63</v>
      </c>
      <c r="C11">
        <v>131</v>
      </c>
      <c r="D11" t="s">
        <v>57</v>
      </c>
      <c r="E11">
        <v>3</v>
      </c>
      <c r="F11">
        <v>123.24</v>
      </c>
      <c r="G11">
        <v>8.92</v>
      </c>
      <c r="H11">
        <v>8.98</v>
      </c>
      <c r="I11">
        <v>105.34</v>
      </c>
    </row>
    <row r="12" spans="1:9">
      <c r="A12" s="5">
        <v>46033</v>
      </c>
      <c r="B12" t="s">
        <v>64</v>
      </c>
      <c r="C12">
        <v>196</v>
      </c>
      <c r="D12" t="s">
        <v>54</v>
      </c>
      <c r="E12">
        <v>2</v>
      </c>
      <c r="F12">
        <v>131.4</v>
      </c>
      <c r="G12">
        <v>14.49</v>
      </c>
      <c r="H12">
        <v>8.2899999999999991</v>
      </c>
      <c r="I12">
        <v>108.62</v>
      </c>
    </row>
    <row r="13" spans="1:9">
      <c r="A13" s="5">
        <v>46034</v>
      </c>
      <c r="B13" t="s">
        <v>65</v>
      </c>
      <c r="C13">
        <v>101</v>
      </c>
      <c r="D13" t="s">
        <v>66</v>
      </c>
      <c r="E13">
        <v>2</v>
      </c>
      <c r="F13">
        <v>122.77</v>
      </c>
      <c r="G13">
        <v>0.32</v>
      </c>
      <c r="H13">
        <v>3.18</v>
      </c>
      <c r="I13">
        <v>119.27</v>
      </c>
    </row>
    <row r="14" spans="1:9">
      <c r="A14" s="5">
        <v>46035</v>
      </c>
      <c r="B14" t="s">
        <v>67</v>
      </c>
      <c r="C14">
        <v>196</v>
      </c>
      <c r="D14" t="s">
        <v>68</v>
      </c>
      <c r="E14">
        <v>1</v>
      </c>
      <c r="F14">
        <v>105.55</v>
      </c>
      <c r="G14">
        <v>6.82</v>
      </c>
      <c r="H14">
        <v>9.5299999999999994</v>
      </c>
      <c r="I14">
        <v>89.199999999999989</v>
      </c>
    </row>
    <row r="15" spans="1:9">
      <c r="A15" s="5">
        <v>46036</v>
      </c>
      <c r="B15" t="s">
        <v>69</v>
      </c>
      <c r="C15">
        <v>132</v>
      </c>
      <c r="D15" t="s">
        <v>66</v>
      </c>
      <c r="E15">
        <v>2</v>
      </c>
      <c r="F15">
        <v>32.49</v>
      </c>
      <c r="G15">
        <v>16.37</v>
      </c>
      <c r="H15">
        <v>8.25</v>
      </c>
      <c r="I15">
        <v>7.870000000000001</v>
      </c>
    </row>
    <row r="16" spans="1:9">
      <c r="A16" s="5">
        <v>46037</v>
      </c>
      <c r="B16" t="s">
        <v>70</v>
      </c>
      <c r="C16">
        <v>176</v>
      </c>
      <c r="D16" t="s">
        <v>57</v>
      </c>
      <c r="E16">
        <v>3</v>
      </c>
      <c r="F16">
        <v>129.80000000000001</v>
      </c>
      <c r="G16">
        <v>12.06</v>
      </c>
      <c r="H16">
        <v>6.66</v>
      </c>
      <c r="I16">
        <v>111.08</v>
      </c>
    </row>
    <row r="17" spans="1:9">
      <c r="A17" s="5">
        <v>46038</v>
      </c>
      <c r="B17" t="s">
        <v>71</v>
      </c>
      <c r="C17">
        <v>129</v>
      </c>
      <c r="D17" t="s">
        <v>54</v>
      </c>
      <c r="E17">
        <v>3</v>
      </c>
      <c r="F17">
        <v>58.64</v>
      </c>
      <c r="G17">
        <v>6.74</v>
      </c>
      <c r="H17">
        <v>1.22</v>
      </c>
      <c r="I17">
        <v>50.68</v>
      </c>
    </row>
    <row r="18" spans="1:9">
      <c r="A18" s="5">
        <v>46039</v>
      </c>
      <c r="B18" t="s">
        <v>72</v>
      </c>
      <c r="C18">
        <v>132</v>
      </c>
      <c r="D18" t="s">
        <v>52</v>
      </c>
      <c r="E18">
        <v>2</v>
      </c>
      <c r="F18">
        <v>139.24</v>
      </c>
      <c r="G18">
        <v>18.11</v>
      </c>
      <c r="H18">
        <v>4.78</v>
      </c>
      <c r="I18">
        <v>116.35</v>
      </c>
    </row>
    <row r="19" spans="1:9">
      <c r="A19" s="5">
        <v>46040</v>
      </c>
      <c r="B19" t="s">
        <v>73</v>
      </c>
      <c r="C19">
        <v>176</v>
      </c>
      <c r="D19" t="s">
        <v>54</v>
      </c>
      <c r="E19">
        <v>2</v>
      </c>
      <c r="F19">
        <v>159.09</v>
      </c>
      <c r="G19">
        <v>15.45</v>
      </c>
      <c r="H19">
        <v>5.0599999999999996</v>
      </c>
      <c r="I19">
        <v>138.58000000000001</v>
      </c>
    </row>
    <row r="20" spans="1:9">
      <c r="A20" s="5">
        <v>46041</v>
      </c>
      <c r="B20" t="s">
        <v>74</v>
      </c>
      <c r="C20">
        <v>125</v>
      </c>
      <c r="D20" t="s">
        <v>57</v>
      </c>
      <c r="E20">
        <v>1</v>
      </c>
      <c r="F20">
        <v>115.08</v>
      </c>
      <c r="G20">
        <v>5.3</v>
      </c>
      <c r="H20">
        <v>2.33</v>
      </c>
      <c r="I20">
        <v>107.45</v>
      </c>
    </row>
    <row r="21" spans="1:9">
      <c r="A21" s="5">
        <v>46042</v>
      </c>
      <c r="B21" t="s">
        <v>75</v>
      </c>
      <c r="C21">
        <v>121</v>
      </c>
      <c r="D21" t="s">
        <v>54</v>
      </c>
      <c r="E21">
        <v>2</v>
      </c>
      <c r="F21">
        <v>122.2</v>
      </c>
      <c r="G21">
        <v>12.91</v>
      </c>
      <c r="H21">
        <v>0.8</v>
      </c>
      <c r="I21">
        <v>108.49</v>
      </c>
    </row>
    <row r="22" spans="1:9">
      <c r="A22" s="5">
        <v>46043</v>
      </c>
      <c r="B22" t="s">
        <v>76</v>
      </c>
      <c r="C22">
        <v>165</v>
      </c>
      <c r="D22" t="s">
        <v>54</v>
      </c>
      <c r="E22">
        <v>1</v>
      </c>
      <c r="F22">
        <v>191.75</v>
      </c>
      <c r="G22">
        <v>11.92</v>
      </c>
      <c r="H22">
        <v>7.77</v>
      </c>
      <c r="I22">
        <v>172.06</v>
      </c>
    </row>
    <row r="23" spans="1:9">
      <c r="A23" s="5">
        <v>46044</v>
      </c>
      <c r="B23" t="s">
        <v>77</v>
      </c>
      <c r="C23">
        <v>137</v>
      </c>
      <c r="D23" t="s">
        <v>57</v>
      </c>
      <c r="E23">
        <v>1</v>
      </c>
      <c r="F23">
        <v>174.02</v>
      </c>
      <c r="G23">
        <v>8.02</v>
      </c>
      <c r="H23">
        <v>1.22</v>
      </c>
      <c r="I23">
        <v>164.78</v>
      </c>
    </row>
    <row r="24" spans="1:9">
      <c r="A24" s="5">
        <v>46045</v>
      </c>
      <c r="B24" t="s">
        <v>78</v>
      </c>
      <c r="C24">
        <v>189</v>
      </c>
      <c r="D24" t="s">
        <v>54</v>
      </c>
      <c r="E24">
        <v>3</v>
      </c>
      <c r="F24">
        <v>185.42</v>
      </c>
      <c r="G24">
        <v>7.34</v>
      </c>
      <c r="H24">
        <v>5.94</v>
      </c>
      <c r="I24">
        <v>172.14</v>
      </c>
    </row>
    <row r="25" spans="1:9">
      <c r="A25" s="5">
        <v>46046</v>
      </c>
      <c r="B25" t="s">
        <v>79</v>
      </c>
      <c r="C25">
        <v>145</v>
      </c>
      <c r="D25" t="s">
        <v>68</v>
      </c>
      <c r="E25">
        <v>3</v>
      </c>
      <c r="F25">
        <v>168.34</v>
      </c>
      <c r="G25">
        <v>6.87</v>
      </c>
      <c r="H25">
        <v>9.36</v>
      </c>
      <c r="I25">
        <v>152.11000000000001</v>
      </c>
    </row>
    <row r="26" spans="1:9">
      <c r="A26" s="5">
        <v>46047</v>
      </c>
      <c r="B26" t="s">
        <v>80</v>
      </c>
      <c r="C26">
        <v>114</v>
      </c>
      <c r="D26" t="s">
        <v>68</v>
      </c>
      <c r="E26">
        <v>3</v>
      </c>
      <c r="F26">
        <v>48.52</v>
      </c>
      <c r="G26">
        <v>12.34</v>
      </c>
      <c r="H26">
        <v>8.76</v>
      </c>
      <c r="I26">
        <v>27.420000000000009</v>
      </c>
    </row>
    <row r="27" spans="1:9">
      <c r="A27" s="5">
        <v>46048</v>
      </c>
      <c r="B27" t="s">
        <v>81</v>
      </c>
      <c r="C27">
        <v>197</v>
      </c>
      <c r="D27" t="s">
        <v>54</v>
      </c>
      <c r="E27">
        <v>3</v>
      </c>
      <c r="F27">
        <v>55.33</v>
      </c>
      <c r="G27">
        <v>8.85</v>
      </c>
      <c r="H27">
        <v>2.78</v>
      </c>
      <c r="I27">
        <v>43.7</v>
      </c>
    </row>
    <row r="28" spans="1:9">
      <c r="A28" s="5">
        <v>46049</v>
      </c>
      <c r="B28" t="s">
        <v>82</v>
      </c>
      <c r="C28">
        <v>143</v>
      </c>
      <c r="D28" t="s">
        <v>52</v>
      </c>
      <c r="E28">
        <v>2</v>
      </c>
      <c r="F28">
        <v>119.53</v>
      </c>
      <c r="G28">
        <v>16.64</v>
      </c>
      <c r="H28">
        <v>8.51</v>
      </c>
      <c r="I28">
        <v>94.38</v>
      </c>
    </row>
    <row r="29" spans="1:9">
      <c r="A29" s="5">
        <v>46050</v>
      </c>
      <c r="B29" t="s">
        <v>83</v>
      </c>
      <c r="C29">
        <v>148</v>
      </c>
      <c r="D29" t="s">
        <v>57</v>
      </c>
      <c r="E29">
        <v>3</v>
      </c>
      <c r="F29">
        <v>71.83</v>
      </c>
      <c r="G29">
        <v>13.39</v>
      </c>
      <c r="H29">
        <v>0</v>
      </c>
      <c r="I29">
        <v>58.44</v>
      </c>
    </row>
    <row r="30" spans="1:9">
      <c r="A30" s="5">
        <v>46051</v>
      </c>
      <c r="B30" t="s">
        <v>84</v>
      </c>
      <c r="C30">
        <v>174</v>
      </c>
      <c r="D30" t="s">
        <v>68</v>
      </c>
      <c r="E30">
        <v>2</v>
      </c>
      <c r="F30">
        <v>111.04</v>
      </c>
      <c r="G30">
        <v>1.4</v>
      </c>
      <c r="H30">
        <v>0.18</v>
      </c>
      <c r="I30">
        <v>109.46</v>
      </c>
    </row>
    <row r="31" spans="1:9">
      <c r="A31" s="5">
        <v>46052</v>
      </c>
      <c r="B31" t="s">
        <v>85</v>
      </c>
      <c r="C31">
        <v>160</v>
      </c>
      <c r="D31" t="s">
        <v>52</v>
      </c>
      <c r="E31">
        <v>3</v>
      </c>
      <c r="F31">
        <v>97.04</v>
      </c>
      <c r="G31">
        <v>12.8</v>
      </c>
      <c r="H31">
        <v>6.03</v>
      </c>
      <c r="I31">
        <v>78.210000000000008</v>
      </c>
    </row>
    <row r="32" spans="1:9">
      <c r="A32" s="5">
        <v>46023</v>
      </c>
      <c r="B32" t="s">
        <v>86</v>
      </c>
      <c r="C32">
        <v>166</v>
      </c>
      <c r="D32" t="s">
        <v>54</v>
      </c>
      <c r="E32">
        <v>2</v>
      </c>
      <c r="F32">
        <v>123.4</v>
      </c>
      <c r="G32">
        <v>5.42</v>
      </c>
      <c r="H32">
        <v>3.65</v>
      </c>
      <c r="I32">
        <v>114.33</v>
      </c>
    </row>
    <row r="33" spans="1:9">
      <c r="A33" s="5">
        <v>46024</v>
      </c>
      <c r="B33" t="s">
        <v>87</v>
      </c>
      <c r="C33">
        <v>105</v>
      </c>
      <c r="D33" t="s">
        <v>52</v>
      </c>
      <c r="E33">
        <v>1</v>
      </c>
      <c r="F33">
        <v>156.97</v>
      </c>
      <c r="G33">
        <v>11.86</v>
      </c>
      <c r="H33">
        <v>3.86</v>
      </c>
      <c r="I33">
        <v>141.25</v>
      </c>
    </row>
    <row r="34" spans="1:9">
      <c r="A34" s="5">
        <v>46025</v>
      </c>
      <c r="B34" t="s">
        <v>88</v>
      </c>
      <c r="C34">
        <v>108</v>
      </c>
      <c r="D34" t="s">
        <v>66</v>
      </c>
      <c r="E34">
        <v>2</v>
      </c>
      <c r="F34">
        <v>151.63</v>
      </c>
      <c r="G34">
        <v>13.6</v>
      </c>
      <c r="H34">
        <v>5.64</v>
      </c>
      <c r="I34">
        <v>132.38999999999999</v>
      </c>
    </row>
    <row r="35" spans="1:9">
      <c r="A35" s="5">
        <v>46026</v>
      </c>
      <c r="B35" t="s">
        <v>89</v>
      </c>
      <c r="C35">
        <v>105</v>
      </c>
      <c r="D35" t="s">
        <v>68</v>
      </c>
      <c r="E35">
        <v>2</v>
      </c>
      <c r="F35">
        <v>118.61</v>
      </c>
      <c r="G35">
        <v>4.62</v>
      </c>
      <c r="H35">
        <v>1.92</v>
      </c>
      <c r="I35">
        <v>112.07</v>
      </c>
    </row>
    <row r="36" spans="1:9">
      <c r="A36" s="5">
        <v>46027</v>
      </c>
      <c r="B36" t="s">
        <v>90</v>
      </c>
      <c r="C36">
        <v>172</v>
      </c>
      <c r="D36" t="s">
        <v>54</v>
      </c>
      <c r="E36">
        <v>3</v>
      </c>
      <c r="F36">
        <v>169.81</v>
      </c>
      <c r="G36">
        <v>9.14</v>
      </c>
      <c r="H36">
        <v>2.12</v>
      </c>
      <c r="I36">
        <v>158.55000000000001</v>
      </c>
    </row>
    <row r="37" spans="1:9">
      <c r="A37" s="5">
        <v>46028</v>
      </c>
      <c r="B37" t="s">
        <v>91</v>
      </c>
      <c r="C37">
        <v>194</v>
      </c>
      <c r="D37" t="s">
        <v>57</v>
      </c>
      <c r="E37">
        <v>2</v>
      </c>
      <c r="F37">
        <v>103.25</v>
      </c>
      <c r="G37">
        <v>3.81</v>
      </c>
      <c r="H37">
        <v>4.8499999999999996</v>
      </c>
      <c r="I37">
        <v>94.59</v>
      </c>
    </row>
    <row r="38" spans="1:9">
      <c r="A38" s="5">
        <v>46029</v>
      </c>
      <c r="B38" t="s">
        <v>92</v>
      </c>
      <c r="C38">
        <v>131</v>
      </c>
      <c r="D38" t="s">
        <v>54</v>
      </c>
      <c r="E38">
        <v>1</v>
      </c>
      <c r="F38">
        <v>182.44</v>
      </c>
      <c r="G38">
        <v>1.05</v>
      </c>
      <c r="H38">
        <v>7.54</v>
      </c>
      <c r="I38">
        <v>173.85</v>
      </c>
    </row>
    <row r="39" spans="1:9">
      <c r="A39" s="5">
        <v>46030</v>
      </c>
      <c r="B39" t="s">
        <v>93</v>
      </c>
      <c r="C39">
        <v>140</v>
      </c>
      <c r="D39" t="s">
        <v>57</v>
      </c>
      <c r="E39">
        <v>1</v>
      </c>
      <c r="F39">
        <v>42.12</v>
      </c>
      <c r="G39">
        <v>7.57</v>
      </c>
      <c r="H39">
        <v>6.19</v>
      </c>
      <c r="I39">
        <v>28.36</v>
      </c>
    </row>
    <row r="40" spans="1:9">
      <c r="A40" s="5">
        <v>46031</v>
      </c>
      <c r="B40" t="s">
        <v>94</v>
      </c>
      <c r="C40">
        <v>175</v>
      </c>
      <c r="D40" t="s">
        <v>54</v>
      </c>
      <c r="E40">
        <v>3</v>
      </c>
      <c r="F40">
        <v>192.29</v>
      </c>
      <c r="G40">
        <v>7.26</v>
      </c>
      <c r="H40">
        <v>2.97</v>
      </c>
      <c r="I40">
        <v>182.06</v>
      </c>
    </row>
    <row r="41" spans="1:9">
      <c r="A41" s="5">
        <v>46032</v>
      </c>
      <c r="B41" t="s">
        <v>95</v>
      </c>
      <c r="C41">
        <v>107</v>
      </c>
      <c r="D41" t="s">
        <v>52</v>
      </c>
      <c r="E41">
        <v>1</v>
      </c>
      <c r="F41">
        <v>141.30000000000001</v>
      </c>
      <c r="G41">
        <v>19.91</v>
      </c>
      <c r="H41">
        <v>4.3</v>
      </c>
      <c r="I41">
        <v>117.09</v>
      </c>
    </row>
    <row r="42" spans="1:9">
      <c r="A42" s="5">
        <v>46033</v>
      </c>
      <c r="B42" t="s">
        <v>96</v>
      </c>
      <c r="C42">
        <v>171</v>
      </c>
      <c r="D42" t="s">
        <v>52</v>
      </c>
      <c r="E42">
        <v>2</v>
      </c>
      <c r="F42">
        <v>94.61</v>
      </c>
      <c r="G42">
        <v>8.93</v>
      </c>
      <c r="H42">
        <v>1.71</v>
      </c>
      <c r="I42">
        <v>83.970000000000013</v>
      </c>
    </row>
    <row r="43" spans="1:9">
      <c r="A43" s="5">
        <v>46034</v>
      </c>
      <c r="B43" t="s">
        <v>97</v>
      </c>
      <c r="C43">
        <v>149</v>
      </c>
      <c r="D43" t="s">
        <v>52</v>
      </c>
      <c r="E43">
        <v>1</v>
      </c>
      <c r="F43">
        <v>63.52</v>
      </c>
      <c r="G43">
        <v>6.67</v>
      </c>
      <c r="H43">
        <v>0.75</v>
      </c>
      <c r="I43">
        <v>56.1</v>
      </c>
    </row>
    <row r="44" spans="1:9">
      <c r="A44" s="5">
        <v>46035</v>
      </c>
      <c r="B44" t="s">
        <v>98</v>
      </c>
      <c r="C44">
        <v>191</v>
      </c>
      <c r="D44" t="s">
        <v>66</v>
      </c>
      <c r="E44">
        <v>3</v>
      </c>
      <c r="F44">
        <v>111.46</v>
      </c>
      <c r="G44">
        <v>11.61</v>
      </c>
      <c r="H44">
        <v>7.83</v>
      </c>
      <c r="I44">
        <v>92.02</v>
      </c>
    </row>
    <row r="45" spans="1:9">
      <c r="A45" s="5">
        <v>46036</v>
      </c>
      <c r="B45" t="s">
        <v>99</v>
      </c>
      <c r="C45">
        <v>161</v>
      </c>
      <c r="D45" t="s">
        <v>57</v>
      </c>
      <c r="E45">
        <v>2</v>
      </c>
      <c r="F45">
        <v>63.07</v>
      </c>
      <c r="G45">
        <v>1.78</v>
      </c>
      <c r="H45">
        <v>2.65</v>
      </c>
      <c r="I45">
        <v>58.64</v>
      </c>
    </row>
    <row r="46" spans="1:9">
      <c r="A46" s="5">
        <v>46037</v>
      </c>
      <c r="B46" t="s">
        <v>100</v>
      </c>
      <c r="C46">
        <v>183</v>
      </c>
      <c r="D46" t="s">
        <v>52</v>
      </c>
      <c r="E46">
        <v>3</v>
      </c>
      <c r="F46">
        <v>58.28</v>
      </c>
      <c r="G46">
        <v>19.23</v>
      </c>
      <c r="H46">
        <v>1.78</v>
      </c>
      <c r="I46">
        <v>37.270000000000003</v>
      </c>
    </row>
    <row r="47" spans="1:9">
      <c r="A47" s="5">
        <v>46038</v>
      </c>
      <c r="B47" t="s">
        <v>101</v>
      </c>
      <c r="C47">
        <v>161</v>
      </c>
      <c r="D47" t="s">
        <v>66</v>
      </c>
      <c r="E47">
        <v>2</v>
      </c>
      <c r="F47">
        <v>134.94999999999999</v>
      </c>
      <c r="G47">
        <v>12.7</v>
      </c>
      <c r="H47">
        <v>6.92</v>
      </c>
      <c r="I47">
        <v>115.33</v>
      </c>
    </row>
    <row r="48" spans="1:9">
      <c r="A48" s="5">
        <v>46039</v>
      </c>
      <c r="B48" t="s">
        <v>102</v>
      </c>
      <c r="C48">
        <v>106</v>
      </c>
      <c r="D48" t="s">
        <v>57</v>
      </c>
      <c r="E48">
        <v>1</v>
      </c>
      <c r="F48">
        <v>118.92</v>
      </c>
      <c r="G48">
        <v>15.1</v>
      </c>
      <c r="H48">
        <v>6.18</v>
      </c>
      <c r="I48">
        <v>97.640000000000015</v>
      </c>
    </row>
    <row r="49" spans="1:9">
      <c r="A49" s="5">
        <v>46040</v>
      </c>
      <c r="B49" t="s">
        <v>103</v>
      </c>
      <c r="C49">
        <v>174</v>
      </c>
      <c r="D49" t="s">
        <v>54</v>
      </c>
      <c r="E49">
        <v>3</v>
      </c>
      <c r="F49">
        <v>143.91999999999999</v>
      </c>
      <c r="G49">
        <v>3.41</v>
      </c>
      <c r="H49">
        <v>6.33</v>
      </c>
      <c r="I49">
        <v>134.18</v>
      </c>
    </row>
    <row r="50" spans="1:9">
      <c r="A50" s="5">
        <v>46041</v>
      </c>
      <c r="B50" t="s">
        <v>104</v>
      </c>
      <c r="C50">
        <v>183</v>
      </c>
      <c r="D50" t="s">
        <v>66</v>
      </c>
      <c r="E50">
        <v>3</v>
      </c>
      <c r="F50">
        <v>188.03</v>
      </c>
      <c r="G50">
        <v>8.19</v>
      </c>
      <c r="H50">
        <v>2.29</v>
      </c>
      <c r="I50">
        <v>177.55</v>
      </c>
    </row>
    <row r="51" spans="1:9">
      <c r="A51" s="5">
        <v>46042</v>
      </c>
      <c r="B51" t="s">
        <v>105</v>
      </c>
      <c r="C51">
        <v>179</v>
      </c>
      <c r="D51" t="s">
        <v>68</v>
      </c>
      <c r="E51">
        <v>2</v>
      </c>
      <c r="F51">
        <v>120.48</v>
      </c>
      <c r="G51">
        <v>8.4499999999999993</v>
      </c>
      <c r="H51">
        <v>2.33</v>
      </c>
      <c r="I51">
        <v>109.7</v>
      </c>
    </row>
    <row r="52" spans="1:9">
      <c r="A52" s="5">
        <v>46043</v>
      </c>
      <c r="B52" t="s">
        <v>106</v>
      </c>
      <c r="C52">
        <v>103</v>
      </c>
      <c r="D52" t="s">
        <v>66</v>
      </c>
      <c r="E52">
        <v>3</v>
      </c>
      <c r="F52">
        <v>128.76</v>
      </c>
      <c r="G52">
        <v>16.440000000000001</v>
      </c>
      <c r="H52">
        <v>2.21</v>
      </c>
      <c r="I52">
        <v>110.11</v>
      </c>
    </row>
    <row r="53" spans="1:9">
      <c r="A53" s="5">
        <v>46044</v>
      </c>
      <c r="B53" t="s">
        <v>107</v>
      </c>
      <c r="C53">
        <v>105</v>
      </c>
      <c r="D53" t="s">
        <v>66</v>
      </c>
      <c r="E53">
        <v>2</v>
      </c>
      <c r="F53">
        <v>45.24</v>
      </c>
      <c r="G53">
        <v>0.02</v>
      </c>
      <c r="H53">
        <v>1.74</v>
      </c>
      <c r="I53">
        <v>43.48</v>
      </c>
    </row>
    <row r="54" spans="1:9">
      <c r="A54" s="5">
        <v>46045</v>
      </c>
      <c r="B54" t="s">
        <v>108</v>
      </c>
      <c r="C54">
        <v>157</v>
      </c>
      <c r="D54" t="s">
        <v>57</v>
      </c>
      <c r="E54">
        <v>2</v>
      </c>
      <c r="F54">
        <v>152</v>
      </c>
      <c r="G54">
        <v>6.02</v>
      </c>
      <c r="H54">
        <v>6.56</v>
      </c>
      <c r="I54">
        <v>139.41999999999999</v>
      </c>
    </row>
    <row r="55" spans="1:9">
      <c r="A55" s="5">
        <v>46046</v>
      </c>
      <c r="B55" t="s">
        <v>109</v>
      </c>
      <c r="C55">
        <v>121</v>
      </c>
      <c r="D55" t="s">
        <v>54</v>
      </c>
      <c r="E55">
        <v>2</v>
      </c>
      <c r="F55">
        <v>97.98</v>
      </c>
      <c r="G55">
        <v>19.62</v>
      </c>
      <c r="H55">
        <v>8.48</v>
      </c>
      <c r="I55">
        <v>69.88</v>
      </c>
    </row>
    <row r="56" spans="1:9">
      <c r="A56" s="5">
        <v>46047</v>
      </c>
      <c r="B56" t="s">
        <v>110</v>
      </c>
      <c r="C56">
        <v>125</v>
      </c>
      <c r="D56" t="s">
        <v>68</v>
      </c>
      <c r="E56">
        <v>2</v>
      </c>
      <c r="F56">
        <v>196.04</v>
      </c>
      <c r="G56">
        <v>9.5</v>
      </c>
      <c r="H56">
        <v>7.24</v>
      </c>
      <c r="I56">
        <v>179.3</v>
      </c>
    </row>
    <row r="57" spans="1:9">
      <c r="A57" s="5">
        <v>46048</v>
      </c>
      <c r="B57" t="s">
        <v>111</v>
      </c>
      <c r="C57">
        <v>102</v>
      </c>
      <c r="D57" t="s">
        <v>52</v>
      </c>
      <c r="E57">
        <v>1</v>
      </c>
      <c r="F57">
        <v>169.94</v>
      </c>
      <c r="G57">
        <v>7.65</v>
      </c>
      <c r="H57">
        <v>7.92</v>
      </c>
      <c r="I57">
        <v>154.37</v>
      </c>
    </row>
    <row r="58" spans="1:9">
      <c r="A58" s="5">
        <v>46049</v>
      </c>
      <c r="B58" t="s">
        <v>112</v>
      </c>
      <c r="C58">
        <v>140</v>
      </c>
      <c r="D58" t="s">
        <v>52</v>
      </c>
      <c r="E58">
        <v>2</v>
      </c>
      <c r="F58">
        <v>118.82</v>
      </c>
      <c r="G58">
        <v>2.4</v>
      </c>
      <c r="H58">
        <v>4.05</v>
      </c>
      <c r="I58">
        <v>112.37</v>
      </c>
    </row>
    <row r="59" spans="1:9">
      <c r="A59" s="5">
        <v>46050</v>
      </c>
      <c r="B59" t="s">
        <v>113</v>
      </c>
      <c r="C59">
        <v>159</v>
      </c>
      <c r="D59" t="s">
        <v>66</v>
      </c>
      <c r="E59">
        <v>3</v>
      </c>
      <c r="F59">
        <v>50.95</v>
      </c>
      <c r="G59">
        <v>19.48</v>
      </c>
      <c r="H59">
        <v>6.54</v>
      </c>
      <c r="I59">
        <v>24.93</v>
      </c>
    </row>
    <row r="60" spans="1:9">
      <c r="A60" s="5">
        <v>46051</v>
      </c>
      <c r="B60" t="s">
        <v>114</v>
      </c>
      <c r="C60">
        <v>113</v>
      </c>
      <c r="D60" t="s">
        <v>57</v>
      </c>
      <c r="E60">
        <v>1</v>
      </c>
      <c r="F60">
        <v>176.1</v>
      </c>
      <c r="G60">
        <v>0.4</v>
      </c>
      <c r="H60">
        <v>3.54</v>
      </c>
      <c r="I60">
        <v>172.16</v>
      </c>
    </row>
    <row r="61" spans="1:9">
      <c r="A61" s="5">
        <v>46052</v>
      </c>
      <c r="B61" t="s">
        <v>115</v>
      </c>
      <c r="C61">
        <v>174</v>
      </c>
      <c r="D61" t="s">
        <v>57</v>
      </c>
      <c r="E61">
        <v>3</v>
      </c>
      <c r="F61">
        <v>165.96</v>
      </c>
      <c r="G61">
        <v>14.74</v>
      </c>
      <c r="H61">
        <v>5.26</v>
      </c>
      <c r="I61">
        <v>145.96</v>
      </c>
    </row>
    <row r="62" spans="1:9">
      <c r="A62" s="5">
        <v>46023</v>
      </c>
      <c r="B62" t="s">
        <v>116</v>
      </c>
      <c r="C62">
        <v>181</v>
      </c>
      <c r="D62" t="s">
        <v>52</v>
      </c>
      <c r="E62">
        <v>1</v>
      </c>
      <c r="F62">
        <v>61.38</v>
      </c>
      <c r="G62">
        <v>15.37</v>
      </c>
      <c r="H62">
        <v>4.82</v>
      </c>
      <c r="I62">
        <v>41.19</v>
      </c>
    </row>
    <row r="63" spans="1:9">
      <c r="A63" s="5">
        <v>46024</v>
      </c>
      <c r="B63" t="s">
        <v>117</v>
      </c>
      <c r="C63">
        <v>111</v>
      </c>
      <c r="D63" t="s">
        <v>68</v>
      </c>
      <c r="E63">
        <v>2</v>
      </c>
      <c r="F63">
        <v>80.2</v>
      </c>
      <c r="G63">
        <v>4.87</v>
      </c>
      <c r="H63">
        <v>1.77</v>
      </c>
      <c r="I63">
        <v>73.56</v>
      </c>
    </row>
    <row r="64" spans="1:9">
      <c r="A64" s="5">
        <v>46025</v>
      </c>
      <c r="B64" t="s">
        <v>118</v>
      </c>
      <c r="C64">
        <v>186</v>
      </c>
      <c r="D64" t="s">
        <v>54</v>
      </c>
      <c r="E64">
        <v>1</v>
      </c>
      <c r="F64">
        <v>164.88</v>
      </c>
      <c r="G64">
        <v>13.43</v>
      </c>
      <c r="H64">
        <v>3.87</v>
      </c>
      <c r="I64">
        <v>147.58000000000001</v>
      </c>
    </row>
    <row r="65" spans="1:9">
      <c r="A65" s="5">
        <v>46026</v>
      </c>
      <c r="B65" t="s">
        <v>119</v>
      </c>
      <c r="C65">
        <v>111</v>
      </c>
      <c r="D65" t="s">
        <v>68</v>
      </c>
      <c r="E65">
        <v>1</v>
      </c>
      <c r="F65">
        <v>61.49</v>
      </c>
      <c r="G65">
        <v>1.86</v>
      </c>
      <c r="H65">
        <v>9.64</v>
      </c>
      <c r="I65">
        <v>49.99</v>
      </c>
    </row>
    <row r="66" spans="1:9">
      <c r="A66" s="5">
        <v>46027</v>
      </c>
      <c r="B66" t="s">
        <v>120</v>
      </c>
      <c r="C66">
        <v>112</v>
      </c>
      <c r="D66" t="s">
        <v>54</v>
      </c>
      <c r="E66">
        <v>3</v>
      </c>
      <c r="F66">
        <v>186.02</v>
      </c>
      <c r="G66">
        <v>5.14</v>
      </c>
      <c r="H66">
        <v>2.4900000000000002</v>
      </c>
      <c r="I66">
        <v>178.39</v>
      </c>
    </row>
    <row r="67" spans="1:9">
      <c r="A67" s="5">
        <v>46028</v>
      </c>
      <c r="B67" t="s">
        <v>121</v>
      </c>
      <c r="C67">
        <v>124</v>
      </c>
      <c r="D67" t="s">
        <v>52</v>
      </c>
      <c r="E67">
        <v>3</v>
      </c>
      <c r="F67">
        <v>102.17</v>
      </c>
      <c r="G67">
        <v>15.76</v>
      </c>
      <c r="H67">
        <v>1.34</v>
      </c>
      <c r="I67">
        <v>85.07</v>
      </c>
    </row>
    <row r="68" spans="1:9">
      <c r="A68" s="5">
        <v>46029</v>
      </c>
      <c r="B68" t="s">
        <v>122</v>
      </c>
      <c r="C68">
        <v>144</v>
      </c>
      <c r="D68" t="s">
        <v>54</v>
      </c>
      <c r="E68">
        <v>2</v>
      </c>
      <c r="F68">
        <v>44.8</v>
      </c>
      <c r="G68">
        <v>17.29</v>
      </c>
      <c r="H68">
        <v>4.1900000000000004</v>
      </c>
      <c r="I68">
        <v>23.32</v>
      </c>
    </row>
    <row r="69" spans="1:9">
      <c r="A69" s="5">
        <v>46030</v>
      </c>
      <c r="B69" t="s">
        <v>123</v>
      </c>
      <c r="C69">
        <v>118</v>
      </c>
      <c r="D69" t="s">
        <v>57</v>
      </c>
      <c r="E69">
        <v>1</v>
      </c>
      <c r="F69">
        <v>168.68</v>
      </c>
      <c r="G69">
        <v>12.17</v>
      </c>
      <c r="H69">
        <v>7.9</v>
      </c>
      <c r="I69">
        <v>148.61000000000001</v>
      </c>
    </row>
    <row r="70" spans="1:9">
      <c r="A70" s="5">
        <v>46031</v>
      </c>
      <c r="B70" t="s">
        <v>124</v>
      </c>
      <c r="C70">
        <v>154</v>
      </c>
      <c r="D70" t="s">
        <v>66</v>
      </c>
      <c r="E70">
        <v>1</v>
      </c>
      <c r="F70">
        <v>93.5</v>
      </c>
      <c r="G70">
        <v>10.14</v>
      </c>
      <c r="H70">
        <v>5.82</v>
      </c>
      <c r="I70">
        <v>77.539999999999992</v>
      </c>
    </row>
    <row r="71" spans="1:9">
      <c r="A71" s="5">
        <v>46032</v>
      </c>
      <c r="B71" t="s">
        <v>125</v>
      </c>
      <c r="C71">
        <v>199</v>
      </c>
      <c r="D71" t="s">
        <v>66</v>
      </c>
      <c r="E71">
        <v>1</v>
      </c>
      <c r="F71">
        <v>119.5</v>
      </c>
      <c r="G71">
        <v>3.19</v>
      </c>
      <c r="H71">
        <v>6.81</v>
      </c>
      <c r="I71">
        <v>109.5</v>
      </c>
    </row>
    <row r="72" spans="1:9">
      <c r="A72" s="5">
        <v>46033</v>
      </c>
      <c r="B72" t="s">
        <v>126</v>
      </c>
      <c r="C72">
        <v>144</v>
      </c>
      <c r="D72" t="s">
        <v>52</v>
      </c>
      <c r="E72">
        <v>2</v>
      </c>
      <c r="F72">
        <v>49.09</v>
      </c>
      <c r="G72">
        <v>1.26</v>
      </c>
      <c r="H72">
        <v>1.9</v>
      </c>
      <c r="I72">
        <v>45.930000000000007</v>
      </c>
    </row>
    <row r="73" spans="1:9">
      <c r="A73" s="5">
        <v>46034</v>
      </c>
      <c r="B73" t="s">
        <v>127</v>
      </c>
      <c r="C73">
        <v>107</v>
      </c>
      <c r="D73" t="s">
        <v>57</v>
      </c>
      <c r="E73">
        <v>2</v>
      </c>
      <c r="F73">
        <v>30.44</v>
      </c>
      <c r="G73">
        <v>2.35</v>
      </c>
      <c r="H73">
        <v>6.19</v>
      </c>
      <c r="I73">
        <v>21.9</v>
      </c>
    </row>
    <row r="74" spans="1:9">
      <c r="A74" s="5">
        <v>46035</v>
      </c>
      <c r="B74" t="s">
        <v>128</v>
      </c>
      <c r="C74">
        <v>192</v>
      </c>
      <c r="D74" t="s">
        <v>68</v>
      </c>
      <c r="E74">
        <v>2</v>
      </c>
      <c r="F74">
        <v>138.46</v>
      </c>
      <c r="G74">
        <v>4.55</v>
      </c>
      <c r="H74">
        <v>3.24</v>
      </c>
      <c r="I74">
        <v>130.66999999999999</v>
      </c>
    </row>
    <row r="75" spans="1:9">
      <c r="A75" s="5">
        <v>46036</v>
      </c>
      <c r="B75" t="s">
        <v>129</v>
      </c>
      <c r="C75">
        <v>152</v>
      </c>
      <c r="D75" t="s">
        <v>57</v>
      </c>
      <c r="E75">
        <v>2</v>
      </c>
      <c r="F75">
        <v>117.58</v>
      </c>
      <c r="G75">
        <v>6.83</v>
      </c>
      <c r="H75">
        <v>8.34</v>
      </c>
      <c r="I75">
        <v>102.41</v>
      </c>
    </row>
    <row r="76" spans="1:9">
      <c r="A76" s="5">
        <v>46037</v>
      </c>
      <c r="B76" t="s">
        <v>130</v>
      </c>
      <c r="C76">
        <v>154</v>
      </c>
      <c r="D76" t="s">
        <v>66</v>
      </c>
      <c r="E76">
        <v>2</v>
      </c>
      <c r="F76">
        <v>130.9</v>
      </c>
      <c r="G76">
        <v>7.62</v>
      </c>
      <c r="H76">
        <v>6.29</v>
      </c>
      <c r="I76">
        <v>116.99</v>
      </c>
    </row>
    <row r="77" spans="1:9">
      <c r="A77" s="5">
        <v>46038</v>
      </c>
      <c r="B77" t="s">
        <v>131</v>
      </c>
      <c r="C77">
        <v>131</v>
      </c>
      <c r="D77" t="s">
        <v>66</v>
      </c>
      <c r="E77">
        <v>3</v>
      </c>
      <c r="F77">
        <v>164.94</v>
      </c>
      <c r="G77">
        <v>6.93</v>
      </c>
      <c r="H77">
        <v>1.99</v>
      </c>
      <c r="I77">
        <v>156.02000000000001</v>
      </c>
    </row>
    <row r="78" spans="1:9">
      <c r="A78" s="5">
        <v>46039</v>
      </c>
      <c r="B78" t="s">
        <v>132</v>
      </c>
      <c r="C78">
        <v>150</v>
      </c>
      <c r="D78" t="s">
        <v>57</v>
      </c>
      <c r="E78">
        <v>1</v>
      </c>
      <c r="F78">
        <v>139.91999999999999</v>
      </c>
      <c r="G78">
        <v>4.78</v>
      </c>
      <c r="H78">
        <v>0.65</v>
      </c>
      <c r="I78">
        <v>134.49</v>
      </c>
    </row>
    <row r="79" spans="1:9">
      <c r="A79" s="5">
        <v>46040</v>
      </c>
      <c r="B79" t="s">
        <v>133</v>
      </c>
      <c r="C79">
        <v>143</v>
      </c>
      <c r="D79" t="s">
        <v>57</v>
      </c>
      <c r="E79">
        <v>1</v>
      </c>
      <c r="F79">
        <v>59.71</v>
      </c>
      <c r="G79">
        <v>10.19</v>
      </c>
      <c r="H79">
        <v>0.43</v>
      </c>
      <c r="I79">
        <v>49.09</v>
      </c>
    </row>
    <row r="80" spans="1:9">
      <c r="A80" s="5">
        <v>46041</v>
      </c>
      <c r="B80" t="s">
        <v>134</v>
      </c>
      <c r="C80">
        <v>181</v>
      </c>
      <c r="D80" t="s">
        <v>66</v>
      </c>
      <c r="E80">
        <v>1</v>
      </c>
      <c r="F80">
        <v>91.33</v>
      </c>
      <c r="G80">
        <v>16.510000000000002</v>
      </c>
      <c r="H80">
        <v>3.71</v>
      </c>
      <c r="I80">
        <v>71.11</v>
      </c>
    </row>
    <row r="81" spans="1:9">
      <c r="A81" s="5">
        <v>46042</v>
      </c>
      <c r="B81" t="s">
        <v>135</v>
      </c>
      <c r="C81">
        <v>169</v>
      </c>
      <c r="D81" t="s">
        <v>68</v>
      </c>
      <c r="E81">
        <v>1</v>
      </c>
      <c r="F81">
        <v>184</v>
      </c>
      <c r="G81">
        <v>5.59</v>
      </c>
      <c r="H81">
        <v>2.66</v>
      </c>
      <c r="I81">
        <v>175.75</v>
      </c>
    </row>
    <row r="82" spans="1:9">
      <c r="A82" s="5">
        <v>46043</v>
      </c>
      <c r="B82" t="s">
        <v>136</v>
      </c>
      <c r="C82">
        <v>117</v>
      </c>
      <c r="D82" t="s">
        <v>52</v>
      </c>
      <c r="E82">
        <v>1</v>
      </c>
      <c r="F82">
        <v>160.88999999999999</v>
      </c>
      <c r="G82">
        <v>18.850000000000001</v>
      </c>
      <c r="H82">
        <v>6.46</v>
      </c>
      <c r="I82">
        <v>135.58000000000001</v>
      </c>
    </row>
    <row r="83" spans="1:9">
      <c r="A83" s="5">
        <v>46044</v>
      </c>
      <c r="B83" t="s">
        <v>137</v>
      </c>
      <c r="C83">
        <v>182</v>
      </c>
      <c r="D83" t="s">
        <v>52</v>
      </c>
      <c r="E83">
        <v>1</v>
      </c>
      <c r="F83">
        <v>124.63</v>
      </c>
      <c r="G83">
        <v>17.47</v>
      </c>
      <c r="H83">
        <v>4.99</v>
      </c>
      <c r="I83">
        <v>102.17</v>
      </c>
    </row>
    <row r="84" spans="1:9">
      <c r="A84" s="5">
        <v>46045</v>
      </c>
      <c r="B84" t="s">
        <v>138</v>
      </c>
      <c r="C84">
        <v>121</v>
      </c>
      <c r="D84" t="s">
        <v>57</v>
      </c>
      <c r="E84">
        <v>1</v>
      </c>
      <c r="F84">
        <v>73.459999999999994</v>
      </c>
      <c r="G84">
        <v>3.24</v>
      </c>
      <c r="H84">
        <v>2.66</v>
      </c>
      <c r="I84">
        <v>67.56</v>
      </c>
    </row>
    <row r="85" spans="1:9">
      <c r="A85" s="5">
        <v>46046</v>
      </c>
      <c r="B85" t="s">
        <v>139</v>
      </c>
      <c r="C85">
        <v>136</v>
      </c>
      <c r="D85" t="s">
        <v>52</v>
      </c>
      <c r="E85">
        <v>1</v>
      </c>
      <c r="F85">
        <v>81.349999999999994</v>
      </c>
      <c r="G85">
        <v>15.73</v>
      </c>
      <c r="H85">
        <v>1.49</v>
      </c>
      <c r="I85">
        <v>64.13</v>
      </c>
    </row>
    <row r="86" spans="1:9">
      <c r="A86" s="5">
        <v>46047</v>
      </c>
      <c r="B86" t="s">
        <v>140</v>
      </c>
      <c r="C86">
        <v>195</v>
      </c>
      <c r="D86" t="s">
        <v>66</v>
      </c>
      <c r="E86">
        <v>3</v>
      </c>
      <c r="F86">
        <v>154.43</v>
      </c>
      <c r="G86">
        <v>11.49</v>
      </c>
      <c r="H86">
        <v>1.27</v>
      </c>
      <c r="I86">
        <v>141.66999999999999</v>
      </c>
    </row>
    <row r="87" spans="1:9">
      <c r="A87" s="5">
        <v>46048</v>
      </c>
      <c r="B87" t="s">
        <v>141</v>
      </c>
      <c r="C87">
        <v>155</v>
      </c>
      <c r="D87" t="s">
        <v>66</v>
      </c>
      <c r="E87">
        <v>1</v>
      </c>
      <c r="F87">
        <v>174.7</v>
      </c>
      <c r="G87">
        <v>11.33</v>
      </c>
      <c r="H87">
        <v>8.65</v>
      </c>
      <c r="I87">
        <v>154.72</v>
      </c>
    </row>
    <row r="88" spans="1:9">
      <c r="A88" s="5">
        <v>46049</v>
      </c>
      <c r="B88" t="s">
        <v>142</v>
      </c>
      <c r="C88">
        <v>158</v>
      </c>
      <c r="D88" t="s">
        <v>57</v>
      </c>
      <c r="E88">
        <v>3</v>
      </c>
      <c r="F88">
        <v>144.13999999999999</v>
      </c>
      <c r="G88">
        <v>7.82</v>
      </c>
      <c r="H88">
        <v>2.4300000000000002</v>
      </c>
      <c r="I88">
        <v>133.88999999999999</v>
      </c>
    </row>
    <row r="89" spans="1:9">
      <c r="A89" s="5">
        <v>46050</v>
      </c>
      <c r="B89" t="s">
        <v>143</v>
      </c>
      <c r="C89">
        <v>102</v>
      </c>
      <c r="D89" t="s">
        <v>57</v>
      </c>
      <c r="E89">
        <v>2</v>
      </c>
      <c r="F89">
        <v>167.62</v>
      </c>
      <c r="G89">
        <v>10.02</v>
      </c>
      <c r="H89">
        <v>6.52</v>
      </c>
      <c r="I89">
        <v>151.08000000000001</v>
      </c>
    </row>
    <row r="90" spans="1:9">
      <c r="A90" s="5">
        <v>46051</v>
      </c>
      <c r="B90" t="s">
        <v>144</v>
      </c>
      <c r="C90">
        <v>127</v>
      </c>
      <c r="D90" t="s">
        <v>57</v>
      </c>
      <c r="E90">
        <v>1</v>
      </c>
      <c r="F90">
        <v>160.33000000000001</v>
      </c>
      <c r="G90">
        <v>7.94</v>
      </c>
      <c r="H90">
        <v>8.11</v>
      </c>
      <c r="I90">
        <v>144.28</v>
      </c>
    </row>
    <row r="91" spans="1:9">
      <c r="A91" s="5">
        <v>46052</v>
      </c>
      <c r="B91" t="s">
        <v>145</v>
      </c>
      <c r="C91">
        <v>173</v>
      </c>
      <c r="D91" t="s">
        <v>68</v>
      </c>
      <c r="E91">
        <v>2</v>
      </c>
      <c r="F91">
        <v>55.45</v>
      </c>
      <c r="G91">
        <v>10.79</v>
      </c>
      <c r="H91">
        <v>6.14</v>
      </c>
      <c r="I91">
        <v>38.520000000000003</v>
      </c>
    </row>
    <row r="92" spans="1:9">
      <c r="A92" s="5">
        <v>46023</v>
      </c>
      <c r="B92" t="s">
        <v>146</v>
      </c>
      <c r="C92">
        <v>134</v>
      </c>
      <c r="D92" t="s">
        <v>52</v>
      </c>
      <c r="E92">
        <v>2</v>
      </c>
      <c r="F92">
        <v>102.07</v>
      </c>
      <c r="G92">
        <v>12.56</v>
      </c>
      <c r="H92">
        <v>8.6</v>
      </c>
      <c r="I92">
        <v>80.91</v>
      </c>
    </row>
    <row r="93" spans="1:9">
      <c r="A93" s="5">
        <v>46024</v>
      </c>
      <c r="B93" t="s">
        <v>147</v>
      </c>
      <c r="C93">
        <v>160</v>
      </c>
      <c r="D93" t="s">
        <v>57</v>
      </c>
      <c r="E93">
        <v>2</v>
      </c>
      <c r="F93">
        <v>56.01</v>
      </c>
      <c r="G93">
        <v>13.49</v>
      </c>
      <c r="H93">
        <v>3.92</v>
      </c>
      <c r="I93">
        <v>38.599999999999987</v>
      </c>
    </row>
    <row r="94" spans="1:9">
      <c r="A94" s="5">
        <v>46025</v>
      </c>
      <c r="B94" t="s">
        <v>148</v>
      </c>
      <c r="C94">
        <v>192</v>
      </c>
      <c r="D94" t="s">
        <v>54</v>
      </c>
      <c r="E94">
        <v>3</v>
      </c>
      <c r="F94">
        <v>69.989999999999995</v>
      </c>
      <c r="G94">
        <v>10.65</v>
      </c>
      <c r="H94">
        <v>9.56</v>
      </c>
      <c r="I94">
        <v>49.779999999999987</v>
      </c>
    </row>
    <row r="95" spans="1:9">
      <c r="A95" s="5">
        <v>46026</v>
      </c>
      <c r="B95" t="s">
        <v>149</v>
      </c>
      <c r="C95">
        <v>153</v>
      </c>
      <c r="D95" t="s">
        <v>54</v>
      </c>
      <c r="E95">
        <v>2</v>
      </c>
      <c r="F95">
        <v>177.77</v>
      </c>
      <c r="G95">
        <v>14.43</v>
      </c>
      <c r="H95">
        <v>1.33</v>
      </c>
      <c r="I95">
        <v>162.01</v>
      </c>
    </row>
    <row r="96" spans="1:9">
      <c r="A96" s="5">
        <v>46027</v>
      </c>
      <c r="B96" t="s">
        <v>150</v>
      </c>
      <c r="C96">
        <v>162</v>
      </c>
      <c r="D96" t="s">
        <v>66</v>
      </c>
      <c r="E96">
        <v>2</v>
      </c>
      <c r="F96">
        <v>110.39</v>
      </c>
      <c r="G96">
        <v>2.83</v>
      </c>
      <c r="H96">
        <v>1.02</v>
      </c>
      <c r="I96">
        <v>106.54</v>
      </c>
    </row>
    <row r="97" spans="1:9">
      <c r="A97" s="5">
        <v>46028</v>
      </c>
      <c r="B97" t="s">
        <v>151</v>
      </c>
      <c r="C97">
        <v>178</v>
      </c>
      <c r="D97" t="s">
        <v>52</v>
      </c>
      <c r="E97">
        <v>2</v>
      </c>
      <c r="F97">
        <v>121.01</v>
      </c>
      <c r="G97">
        <v>4.24</v>
      </c>
      <c r="H97">
        <v>6.59</v>
      </c>
      <c r="I97">
        <v>110.18</v>
      </c>
    </row>
    <row r="98" spans="1:9">
      <c r="A98" s="5">
        <v>46029</v>
      </c>
      <c r="B98" t="s">
        <v>152</v>
      </c>
      <c r="C98">
        <v>196</v>
      </c>
      <c r="D98" t="s">
        <v>57</v>
      </c>
      <c r="E98">
        <v>1</v>
      </c>
      <c r="F98">
        <v>60.34</v>
      </c>
      <c r="G98">
        <v>16.37</v>
      </c>
      <c r="H98">
        <v>9.43</v>
      </c>
      <c r="I98">
        <v>34.54</v>
      </c>
    </row>
    <row r="99" spans="1:9">
      <c r="A99" s="5">
        <v>46030</v>
      </c>
      <c r="B99" t="s">
        <v>153</v>
      </c>
      <c r="C99">
        <v>106</v>
      </c>
      <c r="D99" t="s">
        <v>54</v>
      </c>
      <c r="E99">
        <v>1</v>
      </c>
      <c r="F99">
        <v>83.09</v>
      </c>
      <c r="G99">
        <v>6.45</v>
      </c>
      <c r="H99">
        <v>8.09</v>
      </c>
      <c r="I99">
        <v>68.55</v>
      </c>
    </row>
    <row r="100" spans="1:9">
      <c r="A100" s="5">
        <v>46031</v>
      </c>
      <c r="B100" t="s">
        <v>154</v>
      </c>
      <c r="C100">
        <v>175</v>
      </c>
      <c r="D100" t="s">
        <v>52</v>
      </c>
      <c r="E100">
        <v>3</v>
      </c>
      <c r="F100">
        <v>69.14</v>
      </c>
      <c r="G100">
        <v>0.46</v>
      </c>
      <c r="H100">
        <v>0.76</v>
      </c>
      <c r="I100">
        <v>67.92</v>
      </c>
    </row>
    <row r="101" spans="1:9">
      <c r="A101" s="5">
        <v>46032</v>
      </c>
      <c r="B101" t="s">
        <v>155</v>
      </c>
      <c r="C101">
        <v>148</v>
      </c>
      <c r="D101" t="s">
        <v>66</v>
      </c>
      <c r="E101">
        <v>3</v>
      </c>
      <c r="F101">
        <v>65.05</v>
      </c>
      <c r="G101">
        <v>3.08</v>
      </c>
      <c r="H101">
        <v>2.79</v>
      </c>
      <c r="I101">
        <v>59.18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4809-8682-43F6-823D-775D37102ABA}">
  <dimension ref="A1:K247"/>
  <sheetViews>
    <sheetView workbookViewId="0">
      <selection activeCell="G2" sqref="G2"/>
    </sheetView>
  </sheetViews>
  <sheetFormatPr defaultRowHeight="14.4"/>
  <cols>
    <col min="1" max="1" width="8.88671875" style="1"/>
    <col min="3" max="3" width="11.5546875" bestFit="1" customWidth="1"/>
    <col min="4" max="4" width="10.21875" bestFit="1" customWidth="1"/>
  </cols>
  <sheetData>
    <row r="1" spans="1:11">
      <c r="A1" s="6" t="s">
        <v>9</v>
      </c>
      <c r="B1" s="7" t="s">
        <v>31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32</v>
      </c>
      <c r="J1" s="7" t="s">
        <v>17</v>
      </c>
      <c r="K1" s="7" t="s">
        <v>33</v>
      </c>
    </row>
    <row r="2" spans="1:11">
      <c r="A2" s="4">
        <f>'01_Raw_Meta'!A2</f>
        <v>46023</v>
      </c>
      <c r="B2" s="3" t="str">
        <f>"Meta"</f>
        <v>Meta</v>
      </c>
      <c r="C2" s="3" t="str">
        <f>'01_Raw_Meta'!B2</f>
        <v>Campaign_C</v>
      </c>
      <c r="D2" s="3" t="str">
        <f>'01_Raw_Meta'!C2</f>
        <v>Retargeting</v>
      </c>
      <c r="E2" s="3" t="str">
        <f>'01_Raw_Meta'!D2</f>
        <v>Creative_1</v>
      </c>
      <c r="F2" s="3">
        <f>'01_Raw_Meta'!E2</f>
        <v>272.12</v>
      </c>
      <c r="G2" s="3">
        <f>'01_Raw_Meta'!F2</f>
        <v>16338</v>
      </c>
      <c r="H2" s="3">
        <f>'01_Raw_Meta'!G2</f>
        <v>778</v>
      </c>
      <c r="I2" s="3">
        <f>'01_Raw_Meta'!H2</f>
        <v>89</v>
      </c>
      <c r="J2" s="3">
        <f>'01_Raw_Meta'!I2</f>
        <v>5</v>
      </c>
      <c r="K2" s="3">
        <f>'01_Raw_Meta'!J2</f>
        <v>748.97</v>
      </c>
    </row>
    <row r="3" spans="1:11">
      <c r="A3" s="4">
        <f>'01_Raw_Meta'!A3</f>
        <v>46024</v>
      </c>
      <c r="B3" s="3" t="str">
        <f t="shared" ref="B3:B66" si="0">"Meta"</f>
        <v>Meta</v>
      </c>
      <c r="C3" s="3" t="str">
        <f>'01_Raw_Meta'!B3</f>
        <v>Campaign_A</v>
      </c>
      <c r="D3" s="3" t="str">
        <f>'01_Raw_Meta'!C3</f>
        <v>Retargeting</v>
      </c>
      <c r="E3" s="3" t="str">
        <f>'01_Raw_Meta'!D3</f>
        <v>Creative_3</v>
      </c>
      <c r="F3" s="3">
        <f>'01_Raw_Meta'!E3</f>
        <v>197.27</v>
      </c>
      <c r="G3" s="3">
        <f>'01_Raw_Meta'!F3</f>
        <v>3491</v>
      </c>
      <c r="H3" s="3">
        <f>'01_Raw_Meta'!G3</f>
        <v>1070</v>
      </c>
      <c r="I3" s="3">
        <f>'01_Raw_Meta'!H3</f>
        <v>79</v>
      </c>
      <c r="J3" s="3">
        <f>'01_Raw_Meta'!I3</f>
        <v>38</v>
      </c>
      <c r="K3" s="3">
        <f>'01_Raw_Meta'!J3</f>
        <v>1120.8</v>
      </c>
    </row>
    <row r="4" spans="1:11">
      <c r="A4" s="4">
        <f>'01_Raw_Meta'!A4</f>
        <v>46025</v>
      </c>
      <c r="B4" s="3" t="str">
        <f t="shared" si="0"/>
        <v>Meta</v>
      </c>
      <c r="C4" s="3" t="str">
        <f>'01_Raw_Meta'!B4</f>
        <v>Campaign_C</v>
      </c>
      <c r="D4" s="3" t="str">
        <f>'01_Raw_Meta'!C4</f>
        <v>Retargeting</v>
      </c>
      <c r="E4" s="3" t="str">
        <f>'01_Raw_Meta'!D4</f>
        <v>Creative_2</v>
      </c>
      <c r="F4" s="3">
        <f>'01_Raw_Meta'!E4</f>
        <v>114.93</v>
      </c>
      <c r="G4" s="3">
        <f>'01_Raw_Meta'!F4</f>
        <v>16328</v>
      </c>
      <c r="H4" s="3">
        <f>'01_Raw_Meta'!G4</f>
        <v>810</v>
      </c>
      <c r="I4" s="3">
        <f>'01_Raw_Meta'!H4</f>
        <v>105</v>
      </c>
      <c r="J4" s="3">
        <f>'01_Raw_Meta'!I4</f>
        <v>3</v>
      </c>
      <c r="K4" s="3">
        <f>'01_Raw_Meta'!J4</f>
        <v>974.23</v>
      </c>
    </row>
    <row r="5" spans="1:11">
      <c r="A5" s="4">
        <f>'01_Raw_Meta'!A5</f>
        <v>46026</v>
      </c>
      <c r="B5" s="3" t="str">
        <f t="shared" si="0"/>
        <v>Meta</v>
      </c>
      <c r="C5" s="3" t="str">
        <f>'01_Raw_Meta'!B5</f>
        <v>Campaign_C</v>
      </c>
      <c r="D5" s="3" t="str">
        <f>'01_Raw_Meta'!C5</f>
        <v>Prospecting</v>
      </c>
      <c r="E5" s="3" t="str">
        <f>'01_Raw_Meta'!D5</f>
        <v>Creative_1</v>
      </c>
      <c r="F5" s="3">
        <f>'01_Raw_Meta'!E5</f>
        <v>117.78</v>
      </c>
      <c r="G5" s="3">
        <f>'01_Raw_Meta'!F5</f>
        <v>15599</v>
      </c>
      <c r="H5" s="3">
        <f>'01_Raw_Meta'!G5</f>
        <v>725</v>
      </c>
      <c r="I5" s="3">
        <f>'01_Raw_Meta'!H5</f>
        <v>40</v>
      </c>
      <c r="J5" s="3">
        <f>'01_Raw_Meta'!I5</f>
        <v>53</v>
      </c>
      <c r="K5" s="3">
        <f>'01_Raw_Meta'!J5</f>
        <v>1211.06</v>
      </c>
    </row>
    <row r="6" spans="1:11">
      <c r="A6" s="4">
        <f>'01_Raw_Meta'!A6</f>
        <v>46027</v>
      </c>
      <c r="B6" s="3" t="str">
        <f t="shared" si="0"/>
        <v>Meta</v>
      </c>
      <c r="C6" s="3" t="str">
        <f>'01_Raw_Meta'!B6</f>
        <v>Campaign_A</v>
      </c>
      <c r="D6" s="3" t="str">
        <f>'01_Raw_Meta'!C6</f>
        <v>Prospecting</v>
      </c>
      <c r="E6" s="3" t="str">
        <f>'01_Raw_Meta'!D6</f>
        <v>Creative_1</v>
      </c>
      <c r="F6" s="3">
        <f>'01_Raw_Meta'!E6</f>
        <v>223.27</v>
      </c>
      <c r="G6" s="3">
        <f>'01_Raw_Meta'!F6</f>
        <v>4051</v>
      </c>
      <c r="H6" s="3">
        <f>'01_Raw_Meta'!G6</f>
        <v>506</v>
      </c>
      <c r="I6" s="3">
        <f>'01_Raw_Meta'!H6</f>
        <v>103</v>
      </c>
      <c r="J6" s="3">
        <f>'01_Raw_Meta'!I6</f>
        <v>23</v>
      </c>
      <c r="K6" s="3">
        <f>'01_Raw_Meta'!J6</f>
        <v>860.57</v>
      </c>
    </row>
    <row r="7" spans="1:11">
      <c r="A7" s="4">
        <f>'01_Raw_Meta'!A7</f>
        <v>46028</v>
      </c>
      <c r="B7" s="3" t="str">
        <f t="shared" si="0"/>
        <v>Meta</v>
      </c>
      <c r="C7" s="3" t="str">
        <f>'01_Raw_Meta'!B7</f>
        <v>Campaign_A</v>
      </c>
      <c r="D7" s="3" t="str">
        <f>'01_Raw_Meta'!C7</f>
        <v>Prospecting</v>
      </c>
      <c r="E7" s="3" t="str">
        <f>'01_Raw_Meta'!D7</f>
        <v>Creative_1</v>
      </c>
      <c r="F7" s="3">
        <f>'01_Raw_Meta'!E7</f>
        <v>271.19</v>
      </c>
      <c r="G7" s="3">
        <f>'01_Raw_Meta'!F7</f>
        <v>16979</v>
      </c>
      <c r="H7" s="3">
        <f>'01_Raw_Meta'!G7</f>
        <v>969</v>
      </c>
      <c r="I7" s="3">
        <f>'01_Raw_Meta'!H7</f>
        <v>23</v>
      </c>
      <c r="J7" s="3">
        <f>'01_Raw_Meta'!I7</f>
        <v>37</v>
      </c>
      <c r="K7" s="3">
        <f>'01_Raw_Meta'!J7</f>
        <v>1425.57</v>
      </c>
    </row>
    <row r="8" spans="1:11">
      <c r="A8" s="4">
        <f>'01_Raw_Meta'!A8</f>
        <v>46029</v>
      </c>
      <c r="B8" s="3" t="str">
        <f t="shared" si="0"/>
        <v>Meta</v>
      </c>
      <c r="C8" s="3" t="str">
        <f>'01_Raw_Meta'!B8</f>
        <v>Campaign_C</v>
      </c>
      <c r="D8" s="3" t="str">
        <f>'01_Raw_Meta'!C8</f>
        <v>Prospecting</v>
      </c>
      <c r="E8" s="3" t="str">
        <f>'01_Raw_Meta'!D8</f>
        <v>Creative_3</v>
      </c>
      <c r="F8" s="3">
        <f>'01_Raw_Meta'!E8</f>
        <v>268.38</v>
      </c>
      <c r="G8" s="3">
        <f>'01_Raw_Meta'!F8</f>
        <v>17388</v>
      </c>
      <c r="H8" s="3">
        <f>'01_Raw_Meta'!G8</f>
        <v>241</v>
      </c>
      <c r="I8" s="3">
        <f>'01_Raw_Meta'!H8</f>
        <v>24</v>
      </c>
      <c r="J8" s="3">
        <f>'01_Raw_Meta'!I8</f>
        <v>53</v>
      </c>
      <c r="K8" s="3">
        <f>'01_Raw_Meta'!J8</f>
        <v>442.13</v>
      </c>
    </row>
    <row r="9" spans="1:11">
      <c r="A9" s="4">
        <f>'01_Raw_Meta'!A9</f>
        <v>46030</v>
      </c>
      <c r="B9" s="3" t="str">
        <f t="shared" si="0"/>
        <v>Meta</v>
      </c>
      <c r="C9" s="3" t="str">
        <f>'01_Raw_Meta'!B9</f>
        <v>Campaign_B</v>
      </c>
      <c r="D9" s="3" t="str">
        <f>'01_Raw_Meta'!C9</f>
        <v>Retargeting</v>
      </c>
      <c r="E9" s="3" t="str">
        <f>'01_Raw_Meta'!D9</f>
        <v>Creative_2</v>
      </c>
      <c r="F9" s="3">
        <f>'01_Raw_Meta'!E9</f>
        <v>238.37</v>
      </c>
      <c r="G9" s="3">
        <f>'01_Raw_Meta'!F9</f>
        <v>1876</v>
      </c>
      <c r="H9" s="3">
        <f>'01_Raw_Meta'!G9</f>
        <v>788</v>
      </c>
      <c r="I9" s="3">
        <f>'01_Raw_Meta'!H9</f>
        <v>61</v>
      </c>
      <c r="J9" s="3">
        <f>'01_Raw_Meta'!I9</f>
        <v>37</v>
      </c>
      <c r="K9" s="3">
        <f>'01_Raw_Meta'!J9</f>
        <v>1423.35</v>
      </c>
    </row>
    <row r="10" spans="1:11">
      <c r="A10" s="4">
        <f>'01_Raw_Meta'!A10</f>
        <v>46031</v>
      </c>
      <c r="B10" s="3" t="str">
        <f t="shared" si="0"/>
        <v>Meta</v>
      </c>
      <c r="C10" s="3" t="str">
        <f>'01_Raw_Meta'!B10</f>
        <v>Campaign_C</v>
      </c>
      <c r="D10" s="3" t="str">
        <f>'01_Raw_Meta'!C10</f>
        <v>Prospecting</v>
      </c>
      <c r="E10" s="3" t="str">
        <f>'01_Raw_Meta'!D10</f>
        <v>Creative_1</v>
      </c>
      <c r="F10" s="3">
        <f>'01_Raw_Meta'!E10</f>
        <v>199.77</v>
      </c>
      <c r="G10" s="3">
        <f>'01_Raw_Meta'!F10</f>
        <v>5142</v>
      </c>
      <c r="H10" s="3">
        <f>'01_Raw_Meta'!G10</f>
        <v>1172</v>
      </c>
      <c r="I10" s="3">
        <f>'01_Raw_Meta'!H10</f>
        <v>22</v>
      </c>
      <c r="J10" s="3">
        <f>'01_Raw_Meta'!I10</f>
        <v>10</v>
      </c>
      <c r="K10" s="3">
        <f>'01_Raw_Meta'!J10</f>
        <v>882.16</v>
      </c>
    </row>
    <row r="11" spans="1:11">
      <c r="A11" s="4">
        <f>'01_Raw_Meta'!A11</f>
        <v>46032</v>
      </c>
      <c r="B11" s="3" t="str">
        <f t="shared" si="0"/>
        <v>Meta</v>
      </c>
      <c r="C11" s="3" t="str">
        <f>'01_Raw_Meta'!B11</f>
        <v>Campaign_C</v>
      </c>
      <c r="D11" s="3" t="str">
        <f>'01_Raw_Meta'!C11</f>
        <v>Prospecting</v>
      </c>
      <c r="E11" s="3" t="str">
        <f>'01_Raw_Meta'!D11</f>
        <v>Creative_1</v>
      </c>
      <c r="F11" s="3">
        <f>'01_Raw_Meta'!E11</f>
        <v>43.56</v>
      </c>
      <c r="G11" s="3">
        <f>'01_Raw_Meta'!F11</f>
        <v>16202</v>
      </c>
      <c r="H11" s="3">
        <f>'01_Raw_Meta'!G11</f>
        <v>1027</v>
      </c>
      <c r="I11" s="3">
        <f>'01_Raw_Meta'!H11</f>
        <v>51</v>
      </c>
      <c r="J11" s="3">
        <f>'01_Raw_Meta'!I11</f>
        <v>10</v>
      </c>
      <c r="K11" s="3">
        <f>'01_Raw_Meta'!J11</f>
        <v>1761.2</v>
      </c>
    </row>
    <row r="12" spans="1:11">
      <c r="A12" s="4">
        <f>'01_Raw_Meta'!A12</f>
        <v>46033</v>
      </c>
      <c r="B12" s="3" t="str">
        <f t="shared" si="0"/>
        <v>Meta</v>
      </c>
      <c r="C12" s="3" t="str">
        <f>'01_Raw_Meta'!B12</f>
        <v>Campaign_C</v>
      </c>
      <c r="D12" s="3" t="str">
        <f>'01_Raw_Meta'!C12</f>
        <v>Prospecting</v>
      </c>
      <c r="E12" s="3" t="str">
        <f>'01_Raw_Meta'!D12</f>
        <v>Creative_1</v>
      </c>
      <c r="F12" s="3">
        <f>'01_Raw_Meta'!E12</f>
        <v>65.260000000000005</v>
      </c>
      <c r="G12" s="3">
        <f>'01_Raw_Meta'!F12</f>
        <v>7966</v>
      </c>
      <c r="H12" s="3">
        <f>'01_Raw_Meta'!G12</f>
        <v>1058</v>
      </c>
      <c r="I12" s="3">
        <f>'01_Raw_Meta'!H12</f>
        <v>109</v>
      </c>
      <c r="J12" s="3">
        <f>'01_Raw_Meta'!I12</f>
        <v>19</v>
      </c>
      <c r="K12" s="3">
        <f>'01_Raw_Meta'!J12</f>
        <v>1078.95</v>
      </c>
    </row>
    <row r="13" spans="1:11">
      <c r="A13" s="4">
        <f>'01_Raw_Meta'!A13</f>
        <v>46034</v>
      </c>
      <c r="B13" s="3" t="str">
        <f t="shared" si="0"/>
        <v>Meta</v>
      </c>
      <c r="C13" s="3" t="str">
        <f>'01_Raw_Meta'!B13</f>
        <v>Campaign_C</v>
      </c>
      <c r="D13" s="3" t="str">
        <f>'01_Raw_Meta'!C13</f>
        <v>Prospecting</v>
      </c>
      <c r="E13" s="3" t="str">
        <f>'01_Raw_Meta'!D13</f>
        <v>Creative_3</v>
      </c>
      <c r="F13" s="3">
        <f>'01_Raw_Meta'!E13</f>
        <v>271.60000000000002</v>
      </c>
      <c r="G13" s="3">
        <f>'01_Raw_Meta'!F13</f>
        <v>8079</v>
      </c>
      <c r="H13" s="3">
        <f>'01_Raw_Meta'!G13</f>
        <v>145</v>
      </c>
      <c r="I13" s="3">
        <f>'01_Raw_Meta'!H13</f>
        <v>53</v>
      </c>
      <c r="J13" s="3">
        <f>'01_Raw_Meta'!I13</f>
        <v>17</v>
      </c>
      <c r="K13" s="3">
        <f>'01_Raw_Meta'!J13</f>
        <v>1948.91</v>
      </c>
    </row>
    <row r="14" spans="1:11">
      <c r="A14" s="4">
        <f>'01_Raw_Meta'!A14</f>
        <v>46035</v>
      </c>
      <c r="B14" s="3" t="str">
        <f t="shared" si="0"/>
        <v>Meta</v>
      </c>
      <c r="C14" s="3" t="str">
        <f>'01_Raw_Meta'!B14</f>
        <v>Campaign_A</v>
      </c>
      <c r="D14" s="3" t="str">
        <f>'01_Raw_Meta'!C14</f>
        <v>Prospecting</v>
      </c>
      <c r="E14" s="3" t="str">
        <f>'01_Raw_Meta'!D14</f>
        <v>Creative_3</v>
      </c>
      <c r="F14" s="3">
        <f>'01_Raw_Meta'!E14</f>
        <v>189.8</v>
      </c>
      <c r="G14" s="3">
        <f>'01_Raw_Meta'!F14</f>
        <v>8987</v>
      </c>
      <c r="H14" s="3">
        <f>'01_Raw_Meta'!G14</f>
        <v>712</v>
      </c>
      <c r="I14" s="3">
        <f>'01_Raw_Meta'!H14</f>
        <v>18</v>
      </c>
      <c r="J14" s="3">
        <f>'01_Raw_Meta'!I14</f>
        <v>21</v>
      </c>
      <c r="K14" s="3">
        <f>'01_Raw_Meta'!J14</f>
        <v>1243.68</v>
      </c>
    </row>
    <row r="15" spans="1:11">
      <c r="A15" s="4">
        <f>'01_Raw_Meta'!A15</f>
        <v>46036</v>
      </c>
      <c r="B15" s="3" t="str">
        <f t="shared" si="0"/>
        <v>Meta</v>
      </c>
      <c r="C15" s="3" t="str">
        <f>'01_Raw_Meta'!B15</f>
        <v>Campaign_C</v>
      </c>
      <c r="D15" s="3" t="str">
        <f>'01_Raw_Meta'!C15</f>
        <v>Retargeting</v>
      </c>
      <c r="E15" s="3" t="str">
        <f>'01_Raw_Meta'!D15</f>
        <v>Creative_2</v>
      </c>
      <c r="F15" s="3">
        <f>'01_Raw_Meta'!E15</f>
        <v>22.58</v>
      </c>
      <c r="G15" s="3">
        <f>'01_Raw_Meta'!F15</f>
        <v>7799</v>
      </c>
      <c r="H15" s="3">
        <f>'01_Raw_Meta'!G15</f>
        <v>86</v>
      </c>
      <c r="I15" s="3">
        <f>'01_Raw_Meta'!H15</f>
        <v>19</v>
      </c>
      <c r="J15" s="3">
        <f>'01_Raw_Meta'!I15</f>
        <v>14</v>
      </c>
      <c r="K15" s="3">
        <f>'01_Raw_Meta'!J15</f>
        <v>525.30999999999995</v>
      </c>
    </row>
    <row r="16" spans="1:11">
      <c r="A16" s="4">
        <f>'01_Raw_Meta'!A16</f>
        <v>46037</v>
      </c>
      <c r="B16" s="3" t="str">
        <f t="shared" si="0"/>
        <v>Meta</v>
      </c>
      <c r="C16" s="3" t="str">
        <f>'01_Raw_Meta'!B16</f>
        <v>Campaign_B</v>
      </c>
      <c r="D16" s="3" t="str">
        <f>'01_Raw_Meta'!C16</f>
        <v>Prospecting</v>
      </c>
      <c r="E16" s="3" t="str">
        <f>'01_Raw_Meta'!D16</f>
        <v>Creative_3</v>
      </c>
      <c r="F16" s="3">
        <f>'01_Raw_Meta'!E16</f>
        <v>48.41</v>
      </c>
      <c r="G16" s="3">
        <f>'01_Raw_Meta'!F16</f>
        <v>5465</v>
      </c>
      <c r="H16" s="3">
        <f>'01_Raw_Meta'!G16</f>
        <v>328</v>
      </c>
      <c r="I16" s="3">
        <f>'01_Raw_Meta'!H16</f>
        <v>35</v>
      </c>
      <c r="J16" s="3">
        <f>'01_Raw_Meta'!I16</f>
        <v>9</v>
      </c>
      <c r="K16" s="3">
        <f>'01_Raw_Meta'!J16</f>
        <v>1661.4</v>
      </c>
    </row>
    <row r="17" spans="1:11">
      <c r="A17" s="4">
        <f>'01_Raw_Meta'!A17</f>
        <v>46038</v>
      </c>
      <c r="B17" s="3" t="str">
        <f t="shared" si="0"/>
        <v>Meta</v>
      </c>
      <c r="C17" s="3" t="str">
        <f>'01_Raw_Meta'!B17</f>
        <v>Campaign_A</v>
      </c>
      <c r="D17" s="3" t="str">
        <f>'01_Raw_Meta'!C17</f>
        <v>Retargeting</v>
      </c>
      <c r="E17" s="3" t="str">
        <f>'01_Raw_Meta'!D17</f>
        <v>Creative_1</v>
      </c>
      <c r="F17" s="3">
        <f>'01_Raw_Meta'!E17</f>
        <v>205.78</v>
      </c>
      <c r="G17" s="3">
        <f>'01_Raw_Meta'!F17</f>
        <v>18019</v>
      </c>
      <c r="H17" s="3">
        <f>'01_Raw_Meta'!G17</f>
        <v>266</v>
      </c>
      <c r="I17" s="3">
        <f>'01_Raw_Meta'!H17</f>
        <v>5</v>
      </c>
      <c r="J17" s="3">
        <f>'01_Raw_Meta'!I17</f>
        <v>46</v>
      </c>
      <c r="K17" s="3">
        <f>'01_Raw_Meta'!J17</f>
        <v>755.66</v>
      </c>
    </row>
    <row r="18" spans="1:11">
      <c r="A18" s="4">
        <f>'01_Raw_Meta'!A18</f>
        <v>46039</v>
      </c>
      <c r="B18" s="3" t="str">
        <f t="shared" si="0"/>
        <v>Meta</v>
      </c>
      <c r="C18" s="3" t="str">
        <f>'01_Raw_Meta'!B18</f>
        <v>Campaign_B</v>
      </c>
      <c r="D18" s="3" t="str">
        <f>'01_Raw_Meta'!C18</f>
        <v>Prospecting</v>
      </c>
      <c r="E18" s="3" t="str">
        <f>'01_Raw_Meta'!D18</f>
        <v>Creative_2</v>
      </c>
      <c r="F18" s="3">
        <f>'01_Raw_Meta'!E18</f>
        <v>21.42</v>
      </c>
      <c r="G18" s="3">
        <f>'01_Raw_Meta'!F18</f>
        <v>14417</v>
      </c>
      <c r="H18" s="3">
        <f>'01_Raw_Meta'!G18</f>
        <v>916</v>
      </c>
      <c r="I18" s="3">
        <f>'01_Raw_Meta'!H18</f>
        <v>58</v>
      </c>
      <c r="J18" s="3">
        <f>'01_Raw_Meta'!I18</f>
        <v>1</v>
      </c>
      <c r="K18" s="3">
        <f>'01_Raw_Meta'!J18</f>
        <v>760.48</v>
      </c>
    </row>
    <row r="19" spans="1:11">
      <c r="A19" s="4">
        <f>'01_Raw_Meta'!A19</f>
        <v>46040</v>
      </c>
      <c r="B19" s="3" t="str">
        <f t="shared" si="0"/>
        <v>Meta</v>
      </c>
      <c r="C19" s="3" t="str">
        <f>'01_Raw_Meta'!B19</f>
        <v>Campaign_B</v>
      </c>
      <c r="D19" s="3" t="str">
        <f>'01_Raw_Meta'!C19</f>
        <v>Retargeting</v>
      </c>
      <c r="E19" s="3" t="str">
        <f>'01_Raw_Meta'!D19</f>
        <v>Creative_1</v>
      </c>
      <c r="F19" s="3">
        <f>'01_Raw_Meta'!E19</f>
        <v>65.03</v>
      </c>
      <c r="G19" s="3">
        <f>'01_Raw_Meta'!F19</f>
        <v>19077</v>
      </c>
      <c r="H19" s="3">
        <f>'01_Raw_Meta'!G19</f>
        <v>922</v>
      </c>
      <c r="I19" s="3">
        <f>'01_Raw_Meta'!H19</f>
        <v>7</v>
      </c>
      <c r="J19" s="3">
        <f>'01_Raw_Meta'!I19</f>
        <v>51</v>
      </c>
      <c r="K19" s="3">
        <f>'01_Raw_Meta'!J19</f>
        <v>160.43</v>
      </c>
    </row>
    <row r="20" spans="1:11">
      <c r="A20" s="4">
        <f>'01_Raw_Meta'!A20</f>
        <v>46041</v>
      </c>
      <c r="B20" s="3" t="str">
        <f t="shared" si="0"/>
        <v>Meta</v>
      </c>
      <c r="C20" s="3" t="str">
        <f>'01_Raw_Meta'!B20</f>
        <v>Campaign_B</v>
      </c>
      <c r="D20" s="3" t="str">
        <f>'01_Raw_Meta'!C20</f>
        <v>Prospecting</v>
      </c>
      <c r="E20" s="3" t="str">
        <f>'01_Raw_Meta'!D20</f>
        <v>Creative_1</v>
      </c>
      <c r="F20" s="3">
        <f>'01_Raw_Meta'!E20</f>
        <v>173.65</v>
      </c>
      <c r="G20" s="3">
        <f>'01_Raw_Meta'!F20</f>
        <v>9311</v>
      </c>
      <c r="H20" s="3">
        <f>'01_Raw_Meta'!G20</f>
        <v>111</v>
      </c>
      <c r="I20" s="3">
        <f>'01_Raw_Meta'!H20</f>
        <v>20</v>
      </c>
      <c r="J20" s="3">
        <f>'01_Raw_Meta'!I20</f>
        <v>45</v>
      </c>
      <c r="K20" s="3">
        <f>'01_Raw_Meta'!J20</f>
        <v>1142.56</v>
      </c>
    </row>
    <row r="21" spans="1:11">
      <c r="A21" s="4">
        <f>'01_Raw_Meta'!A21</f>
        <v>46042</v>
      </c>
      <c r="B21" s="3" t="str">
        <f t="shared" si="0"/>
        <v>Meta</v>
      </c>
      <c r="C21" s="3" t="str">
        <f>'01_Raw_Meta'!B21</f>
        <v>Campaign_B</v>
      </c>
      <c r="D21" s="3" t="str">
        <f>'01_Raw_Meta'!C21</f>
        <v>Prospecting</v>
      </c>
      <c r="E21" s="3" t="str">
        <f>'01_Raw_Meta'!D21</f>
        <v>Creative_3</v>
      </c>
      <c r="F21" s="3">
        <f>'01_Raw_Meta'!E21</f>
        <v>213.73</v>
      </c>
      <c r="G21" s="3">
        <f>'01_Raw_Meta'!F21</f>
        <v>18214</v>
      </c>
      <c r="H21" s="3">
        <f>'01_Raw_Meta'!G21</f>
        <v>645</v>
      </c>
      <c r="I21" s="3">
        <f>'01_Raw_Meta'!H21</f>
        <v>91</v>
      </c>
      <c r="J21" s="3">
        <f>'01_Raw_Meta'!I21</f>
        <v>13</v>
      </c>
      <c r="K21" s="3">
        <f>'01_Raw_Meta'!J21</f>
        <v>1115.4000000000001</v>
      </c>
    </row>
    <row r="22" spans="1:11">
      <c r="A22" s="4">
        <f>'01_Raw_Meta'!A22</f>
        <v>46043</v>
      </c>
      <c r="B22" s="3" t="str">
        <f t="shared" si="0"/>
        <v>Meta</v>
      </c>
      <c r="C22" s="3" t="str">
        <f>'01_Raw_Meta'!B22</f>
        <v>Campaign_A</v>
      </c>
      <c r="D22" s="3" t="str">
        <f>'01_Raw_Meta'!C22</f>
        <v>Retargeting</v>
      </c>
      <c r="E22" s="3" t="str">
        <f>'01_Raw_Meta'!D22</f>
        <v>Creative_2</v>
      </c>
      <c r="F22" s="3">
        <f>'01_Raw_Meta'!E22</f>
        <v>202.55</v>
      </c>
      <c r="G22" s="3">
        <f>'01_Raw_Meta'!F22</f>
        <v>15098</v>
      </c>
      <c r="H22" s="3">
        <f>'01_Raw_Meta'!G22</f>
        <v>778</v>
      </c>
      <c r="I22" s="3">
        <f>'01_Raw_Meta'!H22</f>
        <v>61</v>
      </c>
      <c r="J22" s="3">
        <f>'01_Raw_Meta'!I22</f>
        <v>4</v>
      </c>
      <c r="K22" s="3">
        <f>'01_Raw_Meta'!J22</f>
        <v>776.38</v>
      </c>
    </row>
    <row r="23" spans="1:11">
      <c r="A23" s="4">
        <f>'01_Raw_Meta'!A23</f>
        <v>46044</v>
      </c>
      <c r="B23" s="3" t="str">
        <f t="shared" si="0"/>
        <v>Meta</v>
      </c>
      <c r="C23" s="3" t="str">
        <f>'01_Raw_Meta'!B23</f>
        <v>Campaign_A</v>
      </c>
      <c r="D23" s="3" t="str">
        <f>'01_Raw_Meta'!C23</f>
        <v>Retargeting</v>
      </c>
      <c r="E23" s="3" t="str">
        <f>'01_Raw_Meta'!D23</f>
        <v>Creative_3</v>
      </c>
      <c r="F23" s="3">
        <f>'01_Raw_Meta'!E23</f>
        <v>82.8</v>
      </c>
      <c r="G23" s="3">
        <f>'01_Raw_Meta'!F23</f>
        <v>6177</v>
      </c>
      <c r="H23" s="3">
        <f>'01_Raw_Meta'!G23</f>
        <v>446</v>
      </c>
      <c r="I23" s="3">
        <f>'01_Raw_Meta'!H23</f>
        <v>79</v>
      </c>
      <c r="J23" s="3">
        <f>'01_Raw_Meta'!I23</f>
        <v>1</v>
      </c>
      <c r="K23" s="3">
        <f>'01_Raw_Meta'!J23</f>
        <v>1799.01</v>
      </c>
    </row>
    <row r="24" spans="1:11">
      <c r="A24" s="4">
        <f>'01_Raw_Meta'!A24</f>
        <v>46045</v>
      </c>
      <c r="B24" s="3" t="str">
        <f t="shared" si="0"/>
        <v>Meta</v>
      </c>
      <c r="C24" s="3" t="str">
        <f>'01_Raw_Meta'!B24</f>
        <v>Campaign_B</v>
      </c>
      <c r="D24" s="3" t="str">
        <f>'01_Raw_Meta'!C24</f>
        <v>Retargeting</v>
      </c>
      <c r="E24" s="3" t="str">
        <f>'01_Raw_Meta'!D24</f>
        <v>Creative_3</v>
      </c>
      <c r="F24" s="3">
        <f>'01_Raw_Meta'!E24</f>
        <v>219.41</v>
      </c>
      <c r="G24" s="3">
        <f>'01_Raw_Meta'!F24</f>
        <v>15262</v>
      </c>
      <c r="H24" s="3">
        <f>'01_Raw_Meta'!G24</f>
        <v>748</v>
      </c>
      <c r="I24" s="3">
        <f>'01_Raw_Meta'!H24</f>
        <v>16</v>
      </c>
      <c r="J24" s="3">
        <f>'01_Raw_Meta'!I24</f>
        <v>49</v>
      </c>
      <c r="K24" s="3">
        <f>'01_Raw_Meta'!J24</f>
        <v>344.62</v>
      </c>
    </row>
    <row r="25" spans="1:11">
      <c r="A25" s="4">
        <f>'01_Raw_Meta'!A25</f>
        <v>46046</v>
      </c>
      <c r="B25" s="3" t="str">
        <f t="shared" si="0"/>
        <v>Meta</v>
      </c>
      <c r="C25" s="3" t="str">
        <f>'01_Raw_Meta'!B25</f>
        <v>Campaign_B</v>
      </c>
      <c r="D25" s="3" t="str">
        <f>'01_Raw_Meta'!C25</f>
        <v>Prospecting</v>
      </c>
      <c r="E25" s="3" t="str">
        <f>'01_Raw_Meta'!D25</f>
        <v>Creative_2</v>
      </c>
      <c r="F25" s="3">
        <f>'01_Raw_Meta'!E25</f>
        <v>86.43</v>
      </c>
      <c r="G25" s="3">
        <f>'01_Raw_Meta'!F25</f>
        <v>9308</v>
      </c>
      <c r="H25" s="3">
        <f>'01_Raw_Meta'!G25</f>
        <v>1092</v>
      </c>
      <c r="I25" s="3">
        <f>'01_Raw_Meta'!H25</f>
        <v>78</v>
      </c>
      <c r="J25" s="3">
        <f>'01_Raw_Meta'!I25</f>
        <v>40</v>
      </c>
      <c r="K25" s="3">
        <f>'01_Raw_Meta'!J25</f>
        <v>727.19</v>
      </c>
    </row>
    <row r="26" spans="1:11">
      <c r="A26" s="4">
        <f>'01_Raw_Meta'!A26</f>
        <v>46047</v>
      </c>
      <c r="B26" s="3" t="str">
        <f t="shared" si="0"/>
        <v>Meta</v>
      </c>
      <c r="C26" s="3" t="str">
        <f>'01_Raw_Meta'!B26</f>
        <v>Campaign_A</v>
      </c>
      <c r="D26" s="3" t="str">
        <f>'01_Raw_Meta'!C26</f>
        <v>Retargeting</v>
      </c>
      <c r="E26" s="3" t="str">
        <f>'01_Raw_Meta'!D26</f>
        <v>Creative_1</v>
      </c>
      <c r="F26" s="3">
        <f>'01_Raw_Meta'!E26</f>
        <v>111.11</v>
      </c>
      <c r="G26" s="3">
        <f>'01_Raw_Meta'!F26</f>
        <v>6949</v>
      </c>
      <c r="H26" s="3">
        <f>'01_Raw_Meta'!G26</f>
        <v>226</v>
      </c>
      <c r="I26" s="3">
        <f>'01_Raw_Meta'!H26</f>
        <v>100</v>
      </c>
      <c r="J26" s="3">
        <f>'01_Raw_Meta'!I26</f>
        <v>32</v>
      </c>
      <c r="K26" s="3">
        <f>'01_Raw_Meta'!J26</f>
        <v>711.01</v>
      </c>
    </row>
    <row r="27" spans="1:11">
      <c r="A27" s="4">
        <f>'01_Raw_Meta'!A27</f>
        <v>46048</v>
      </c>
      <c r="B27" s="3" t="str">
        <f t="shared" si="0"/>
        <v>Meta</v>
      </c>
      <c r="C27" s="3" t="str">
        <f>'01_Raw_Meta'!B27</f>
        <v>Campaign_A</v>
      </c>
      <c r="D27" s="3" t="str">
        <f>'01_Raw_Meta'!C27</f>
        <v>Prospecting</v>
      </c>
      <c r="E27" s="3" t="str">
        <f>'01_Raw_Meta'!D27</f>
        <v>Creative_1</v>
      </c>
      <c r="F27" s="3">
        <f>'01_Raw_Meta'!E27</f>
        <v>229.02</v>
      </c>
      <c r="G27" s="3">
        <f>'01_Raw_Meta'!F27</f>
        <v>2150</v>
      </c>
      <c r="H27" s="3">
        <f>'01_Raw_Meta'!G27</f>
        <v>445</v>
      </c>
      <c r="I27" s="3">
        <f>'01_Raw_Meta'!H27</f>
        <v>20</v>
      </c>
      <c r="J27" s="3">
        <f>'01_Raw_Meta'!I27</f>
        <v>34</v>
      </c>
      <c r="K27" s="3">
        <f>'01_Raw_Meta'!J27</f>
        <v>275.35000000000002</v>
      </c>
    </row>
    <row r="28" spans="1:11">
      <c r="A28" s="4">
        <f>'01_Raw_Meta'!A28</f>
        <v>46049</v>
      </c>
      <c r="B28" s="3" t="str">
        <f t="shared" si="0"/>
        <v>Meta</v>
      </c>
      <c r="C28" s="3" t="str">
        <f>'01_Raw_Meta'!B28</f>
        <v>Campaign_A</v>
      </c>
      <c r="D28" s="3" t="str">
        <f>'01_Raw_Meta'!C28</f>
        <v>Prospecting</v>
      </c>
      <c r="E28" s="3" t="str">
        <f>'01_Raw_Meta'!D28</f>
        <v>Creative_2</v>
      </c>
      <c r="F28" s="3">
        <f>'01_Raw_Meta'!E28</f>
        <v>201.9</v>
      </c>
      <c r="G28" s="3">
        <f>'01_Raw_Meta'!F28</f>
        <v>2931</v>
      </c>
      <c r="H28" s="3">
        <f>'01_Raw_Meta'!G28</f>
        <v>494</v>
      </c>
      <c r="I28" s="3">
        <f>'01_Raw_Meta'!H28</f>
        <v>76</v>
      </c>
      <c r="J28" s="3">
        <f>'01_Raw_Meta'!I28</f>
        <v>28</v>
      </c>
      <c r="K28" s="3">
        <f>'01_Raw_Meta'!J28</f>
        <v>1014.18</v>
      </c>
    </row>
    <row r="29" spans="1:11">
      <c r="A29" s="4">
        <f>'01_Raw_Meta'!A29</f>
        <v>46050</v>
      </c>
      <c r="B29" s="3" t="str">
        <f t="shared" si="0"/>
        <v>Meta</v>
      </c>
      <c r="C29" s="3" t="str">
        <f>'01_Raw_Meta'!B29</f>
        <v>Campaign_C</v>
      </c>
      <c r="D29" s="3" t="str">
        <f>'01_Raw_Meta'!C29</f>
        <v>Retargeting</v>
      </c>
      <c r="E29" s="3" t="str">
        <f>'01_Raw_Meta'!D29</f>
        <v>Creative_1</v>
      </c>
      <c r="F29" s="3">
        <f>'01_Raw_Meta'!E29</f>
        <v>257.77999999999997</v>
      </c>
      <c r="G29" s="3">
        <f>'01_Raw_Meta'!F29</f>
        <v>10204</v>
      </c>
      <c r="H29" s="3">
        <f>'01_Raw_Meta'!G29</f>
        <v>125</v>
      </c>
      <c r="I29" s="3">
        <f>'01_Raw_Meta'!H29</f>
        <v>106</v>
      </c>
      <c r="J29" s="3">
        <f>'01_Raw_Meta'!I29</f>
        <v>31</v>
      </c>
      <c r="K29" s="3">
        <f>'01_Raw_Meta'!J29</f>
        <v>1406.79</v>
      </c>
    </row>
    <row r="30" spans="1:11">
      <c r="A30" s="4">
        <f>'01_Raw_Meta'!A30</f>
        <v>46051</v>
      </c>
      <c r="B30" s="3" t="str">
        <f t="shared" si="0"/>
        <v>Meta</v>
      </c>
      <c r="C30" s="3" t="str">
        <f>'01_Raw_Meta'!B30</f>
        <v>Campaign_C</v>
      </c>
      <c r="D30" s="3" t="str">
        <f>'01_Raw_Meta'!C30</f>
        <v>Retargeting</v>
      </c>
      <c r="E30" s="3" t="str">
        <f>'01_Raw_Meta'!D30</f>
        <v>Creative_2</v>
      </c>
      <c r="F30" s="3">
        <f>'01_Raw_Meta'!E30</f>
        <v>204.13</v>
      </c>
      <c r="G30" s="3">
        <f>'01_Raw_Meta'!F30</f>
        <v>19048</v>
      </c>
      <c r="H30" s="3">
        <f>'01_Raw_Meta'!G30</f>
        <v>314</v>
      </c>
      <c r="I30" s="3">
        <f>'01_Raw_Meta'!H30</f>
        <v>80</v>
      </c>
      <c r="J30" s="3">
        <f>'01_Raw_Meta'!I30</f>
        <v>8</v>
      </c>
      <c r="K30" s="3">
        <f>'01_Raw_Meta'!J30</f>
        <v>1072.1500000000001</v>
      </c>
    </row>
    <row r="31" spans="1:11">
      <c r="A31" s="4">
        <f>'01_Raw_Meta'!A31</f>
        <v>46052</v>
      </c>
      <c r="B31" s="3" t="str">
        <f t="shared" si="0"/>
        <v>Meta</v>
      </c>
      <c r="C31" s="3" t="str">
        <f>'01_Raw_Meta'!B31</f>
        <v>Campaign_C</v>
      </c>
      <c r="D31" s="3" t="str">
        <f>'01_Raw_Meta'!C31</f>
        <v>Prospecting</v>
      </c>
      <c r="E31" s="3" t="str">
        <f>'01_Raw_Meta'!D31</f>
        <v>Creative_2</v>
      </c>
      <c r="F31" s="3">
        <f>'01_Raw_Meta'!E31</f>
        <v>179.13</v>
      </c>
      <c r="G31" s="3">
        <f>'01_Raw_Meta'!F31</f>
        <v>2081</v>
      </c>
      <c r="H31" s="3">
        <f>'01_Raw_Meta'!G31</f>
        <v>504</v>
      </c>
      <c r="I31" s="3">
        <f>'01_Raw_Meta'!H31</f>
        <v>28</v>
      </c>
      <c r="J31" s="3">
        <f>'01_Raw_Meta'!I31</f>
        <v>39</v>
      </c>
      <c r="K31" s="3">
        <f>'01_Raw_Meta'!J31</f>
        <v>398.26</v>
      </c>
    </row>
    <row r="32" spans="1:11">
      <c r="A32" s="4">
        <f>'01_Raw_Meta'!A32</f>
        <v>46023</v>
      </c>
      <c r="B32" s="3" t="str">
        <f t="shared" si="0"/>
        <v>Meta</v>
      </c>
      <c r="C32" s="3" t="str">
        <f>'01_Raw_Meta'!B32</f>
        <v>Campaign_B</v>
      </c>
      <c r="D32" s="3" t="str">
        <f>'01_Raw_Meta'!C32</f>
        <v>Prospecting</v>
      </c>
      <c r="E32" s="3" t="str">
        <f>'01_Raw_Meta'!D32</f>
        <v>Creative_3</v>
      </c>
      <c r="F32" s="3">
        <f>'01_Raw_Meta'!E32</f>
        <v>46.23</v>
      </c>
      <c r="G32" s="3">
        <f>'01_Raw_Meta'!F32</f>
        <v>17896</v>
      </c>
      <c r="H32" s="3">
        <f>'01_Raw_Meta'!G32</f>
        <v>767</v>
      </c>
      <c r="I32" s="3">
        <f>'01_Raw_Meta'!H32</f>
        <v>32</v>
      </c>
      <c r="J32" s="3">
        <f>'01_Raw_Meta'!I32</f>
        <v>26</v>
      </c>
      <c r="K32" s="3">
        <f>'01_Raw_Meta'!J32</f>
        <v>816.84</v>
      </c>
    </row>
    <row r="33" spans="1:11">
      <c r="A33" s="4">
        <f>'01_Raw_Meta'!A33</f>
        <v>46024</v>
      </c>
      <c r="B33" s="3" t="str">
        <f t="shared" si="0"/>
        <v>Meta</v>
      </c>
      <c r="C33" s="3" t="str">
        <f>'01_Raw_Meta'!B33</f>
        <v>Campaign_C</v>
      </c>
      <c r="D33" s="3" t="str">
        <f>'01_Raw_Meta'!C33</f>
        <v>Retargeting</v>
      </c>
      <c r="E33" s="3" t="str">
        <f>'01_Raw_Meta'!D33</f>
        <v>Creative_2</v>
      </c>
      <c r="F33" s="3">
        <f>'01_Raw_Meta'!E33</f>
        <v>122.96</v>
      </c>
      <c r="G33" s="3">
        <f>'01_Raw_Meta'!F33</f>
        <v>14407</v>
      </c>
      <c r="H33" s="3">
        <f>'01_Raw_Meta'!G33</f>
        <v>784</v>
      </c>
      <c r="I33" s="3">
        <f>'01_Raw_Meta'!H33</f>
        <v>12</v>
      </c>
      <c r="J33" s="3">
        <f>'01_Raw_Meta'!I33</f>
        <v>58</v>
      </c>
      <c r="K33" s="3">
        <f>'01_Raw_Meta'!J33</f>
        <v>104.93</v>
      </c>
    </row>
    <row r="34" spans="1:11">
      <c r="A34" s="4">
        <f>'01_Raw_Meta'!A34</f>
        <v>46025</v>
      </c>
      <c r="B34" s="3" t="str">
        <f t="shared" si="0"/>
        <v>Meta</v>
      </c>
      <c r="C34" s="3" t="str">
        <f>'01_Raw_Meta'!B34</f>
        <v>Campaign_B</v>
      </c>
      <c r="D34" s="3" t="str">
        <f>'01_Raw_Meta'!C34</f>
        <v>Retargeting</v>
      </c>
      <c r="E34" s="3" t="str">
        <f>'01_Raw_Meta'!D34</f>
        <v>Creative_3</v>
      </c>
      <c r="F34" s="3">
        <f>'01_Raw_Meta'!E34</f>
        <v>94.26</v>
      </c>
      <c r="G34" s="3">
        <f>'01_Raw_Meta'!F34</f>
        <v>8805</v>
      </c>
      <c r="H34" s="3">
        <f>'01_Raw_Meta'!G34</f>
        <v>900</v>
      </c>
      <c r="I34" s="3">
        <f>'01_Raw_Meta'!H34</f>
        <v>96</v>
      </c>
      <c r="J34" s="3">
        <f>'01_Raw_Meta'!I34</f>
        <v>34</v>
      </c>
      <c r="K34" s="3">
        <f>'01_Raw_Meta'!J34</f>
        <v>1749.77</v>
      </c>
    </row>
    <row r="35" spans="1:11">
      <c r="A35" s="4">
        <f>'01_Raw_Meta'!A35</f>
        <v>46026</v>
      </c>
      <c r="B35" s="3" t="str">
        <f t="shared" si="0"/>
        <v>Meta</v>
      </c>
      <c r="C35" s="3" t="str">
        <f>'01_Raw_Meta'!B35</f>
        <v>Campaign_B</v>
      </c>
      <c r="D35" s="3" t="str">
        <f>'01_Raw_Meta'!C35</f>
        <v>Retargeting</v>
      </c>
      <c r="E35" s="3" t="str">
        <f>'01_Raw_Meta'!D35</f>
        <v>Creative_1</v>
      </c>
      <c r="F35" s="3">
        <f>'01_Raw_Meta'!E35</f>
        <v>88.32</v>
      </c>
      <c r="G35" s="3">
        <f>'01_Raw_Meta'!F35</f>
        <v>6237</v>
      </c>
      <c r="H35" s="3">
        <f>'01_Raw_Meta'!G35</f>
        <v>193</v>
      </c>
      <c r="I35" s="3">
        <f>'01_Raw_Meta'!H35</f>
        <v>40</v>
      </c>
      <c r="J35" s="3">
        <f>'01_Raw_Meta'!I35</f>
        <v>54</v>
      </c>
      <c r="K35" s="3">
        <f>'01_Raw_Meta'!J35</f>
        <v>260.58</v>
      </c>
    </row>
    <row r="36" spans="1:11">
      <c r="A36" s="4">
        <f>'01_Raw_Meta'!A36</f>
        <v>46027</v>
      </c>
      <c r="B36" s="3" t="str">
        <f t="shared" si="0"/>
        <v>Meta</v>
      </c>
      <c r="C36" s="3" t="str">
        <f>'01_Raw_Meta'!B36</f>
        <v>Campaign_C</v>
      </c>
      <c r="D36" s="3" t="str">
        <f>'01_Raw_Meta'!C36</f>
        <v>Prospecting</v>
      </c>
      <c r="E36" s="3" t="str">
        <f>'01_Raw_Meta'!D36</f>
        <v>Creative_1</v>
      </c>
      <c r="F36" s="3">
        <f>'01_Raw_Meta'!E36</f>
        <v>292.44</v>
      </c>
      <c r="G36" s="3">
        <f>'01_Raw_Meta'!F36</f>
        <v>17943</v>
      </c>
      <c r="H36" s="3">
        <f>'01_Raw_Meta'!G36</f>
        <v>934</v>
      </c>
      <c r="I36" s="3">
        <f>'01_Raw_Meta'!H36</f>
        <v>94</v>
      </c>
      <c r="J36" s="3">
        <f>'01_Raw_Meta'!I36</f>
        <v>54</v>
      </c>
      <c r="K36" s="3">
        <f>'01_Raw_Meta'!J36</f>
        <v>1234.83</v>
      </c>
    </row>
    <row r="37" spans="1:11">
      <c r="A37" s="4">
        <f>'01_Raw_Meta'!A37</f>
        <v>46028</v>
      </c>
      <c r="B37" s="3" t="str">
        <f t="shared" si="0"/>
        <v>Meta</v>
      </c>
      <c r="C37" s="3" t="str">
        <f>'01_Raw_Meta'!B37</f>
        <v>Campaign_B</v>
      </c>
      <c r="D37" s="3" t="str">
        <f>'01_Raw_Meta'!C37</f>
        <v>Prospecting</v>
      </c>
      <c r="E37" s="3" t="str">
        <f>'01_Raw_Meta'!D37</f>
        <v>Creative_1</v>
      </c>
      <c r="F37" s="3">
        <f>'01_Raw_Meta'!E37</f>
        <v>130.07</v>
      </c>
      <c r="G37" s="3">
        <f>'01_Raw_Meta'!F37</f>
        <v>13775</v>
      </c>
      <c r="H37" s="3">
        <f>'01_Raw_Meta'!G37</f>
        <v>1142</v>
      </c>
      <c r="I37" s="3">
        <f>'01_Raw_Meta'!H37</f>
        <v>12</v>
      </c>
      <c r="J37" s="3">
        <f>'01_Raw_Meta'!I37</f>
        <v>3</v>
      </c>
      <c r="K37" s="3">
        <f>'01_Raw_Meta'!J37</f>
        <v>1973.89</v>
      </c>
    </row>
    <row r="38" spans="1:11">
      <c r="A38" s="4">
        <f>'01_Raw_Meta'!A38</f>
        <v>46029</v>
      </c>
      <c r="B38" s="3" t="str">
        <f t="shared" si="0"/>
        <v>Meta</v>
      </c>
      <c r="C38" s="3" t="str">
        <f>'01_Raw_Meta'!B38</f>
        <v>Campaign_C</v>
      </c>
      <c r="D38" s="3" t="str">
        <f>'01_Raw_Meta'!C38</f>
        <v>Prospecting</v>
      </c>
      <c r="E38" s="3" t="str">
        <f>'01_Raw_Meta'!D38</f>
        <v>Creative_1</v>
      </c>
      <c r="F38" s="3">
        <f>'01_Raw_Meta'!E38</f>
        <v>269.77</v>
      </c>
      <c r="G38" s="3">
        <f>'01_Raw_Meta'!F38</f>
        <v>17244</v>
      </c>
      <c r="H38" s="3">
        <f>'01_Raw_Meta'!G38</f>
        <v>1172</v>
      </c>
      <c r="I38" s="3">
        <f>'01_Raw_Meta'!H38</f>
        <v>62</v>
      </c>
      <c r="J38" s="3">
        <f>'01_Raw_Meta'!I38</f>
        <v>59</v>
      </c>
      <c r="K38" s="3">
        <f>'01_Raw_Meta'!J38</f>
        <v>1119.52</v>
      </c>
    </row>
    <row r="39" spans="1:11">
      <c r="A39" s="4">
        <f>'01_Raw_Meta'!A39</f>
        <v>46030</v>
      </c>
      <c r="B39" s="3" t="str">
        <f t="shared" si="0"/>
        <v>Meta</v>
      </c>
      <c r="C39" s="3" t="str">
        <f>'01_Raw_Meta'!B39</f>
        <v>Campaign_C</v>
      </c>
      <c r="D39" s="3" t="str">
        <f>'01_Raw_Meta'!C39</f>
        <v>Prospecting</v>
      </c>
      <c r="E39" s="3" t="str">
        <f>'01_Raw_Meta'!D39</f>
        <v>Creative_3</v>
      </c>
      <c r="F39" s="3">
        <f>'01_Raw_Meta'!E39</f>
        <v>196.72</v>
      </c>
      <c r="G39" s="3">
        <f>'01_Raw_Meta'!F39</f>
        <v>14184</v>
      </c>
      <c r="H39" s="3">
        <f>'01_Raw_Meta'!G39</f>
        <v>445</v>
      </c>
      <c r="I39" s="3">
        <f>'01_Raw_Meta'!H39</f>
        <v>64</v>
      </c>
      <c r="J39" s="3">
        <f>'01_Raw_Meta'!I39</f>
        <v>50</v>
      </c>
      <c r="K39" s="3">
        <f>'01_Raw_Meta'!J39</f>
        <v>1855.68</v>
      </c>
    </row>
    <row r="40" spans="1:11">
      <c r="A40" s="4">
        <f>'01_Raw_Meta'!A40</f>
        <v>46031</v>
      </c>
      <c r="B40" s="3" t="str">
        <f t="shared" si="0"/>
        <v>Meta</v>
      </c>
      <c r="C40" s="3" t="str">
        <f>'01_Raw_Meta'!B40</f>
        <v>Campaign_A</v>
      </c>
      <c r="D40" s="3" t="str">
        <f>'01_Raw_Meta'!C40</f>
        <v>Prospecting</v>
      </c>
      <c r="E40" s="3" t="str">
        <f>'01_Raw_Meta'!D40</f>
        <v>Creative_1</v>
      </c>
      <c r="F40" s="3">
        <f>'01_Raw_Meta'!E40</f>
        <v>242.55</v>
      </c>
      <c r="G40" s="3">
        <f>'01_Raw_Meta'!F40</f>
        <v>4343</v>
      </c>
      <c r="H40" s="3">
        <f>'01_Raw_Meta'!G40</f>
        <v>1098</v>
      </c>
      <c r="I40" s="3">
        <f>'01_Raw_Meta'!H40</f>
        <v>54</v>
      </c>
      <c r="J40" s="3">
        <f>'01_Raw_Meta'!I40</f>
        <v>12</v>
      </c>
      <c r="K40" s="3">
        <f>'01_Raw_Meta'!J40</f>
        <v>548.62</v>
      </c>
    </row>
    <row r="41" spans="1:11">
      <c r="A41" s="4">
        <f>'01_Raw_Meta'!A41</f>
        <v>46032</v>
      </c>
      <c r="B41" s="3" t="str">
        <f t="shared" si="0"/>
        <v>Meta</v>
      </c>
      <c r="C41" s="3" t="str">
        <f>'01_Raw_Meta'!B41</f>
        <v>Campaign_C</v>
      </c>
      <c r="D41" s="3" t="str">
        <f>'01_Raw_Meta'!C41</f>
        <v>Prospecting</v>
      </c>
      <c r="E41" s="3" t="str">
        <f>'01_Raw_Meta'!D41</f>
        <v>Creative_2</v>
      </c>
      <c r="F41" s="3">
        <f>'01_Raw_Meta'!E41</f>
        <v>160.74</v>
      </c>
      <c r="G41" s="3">
        <f>'01_Raw_Meta'!F41</f>
        <v>14500</v>
      </c>
      <c r="H41" s="3">
        <f>'01_Raw_Meta'!G41</f>
        <v>997</v>
      </c>
      <c r="I41" s="3">
        <f>'01_Raw_Meta'!H41</f>
        <v>32</v>
      </c>
      <c r="J41" s="3">
        <f>'01_Raw_Meta'!I41</f>
        <v>1</v>
      </c>
      <c r="K41" s="3">
        <f>'01_Raw_Meta'!J41</f>
        <v>1543.92</v>
      </c>
    </row>
    <row r="42" spans="1:11">
      <c r="A42" s="4">
        <f>'01_Raw_Meta'!A42</f>
        <v>46033</v>
      </c>
      <c r="B42" s="3" t="str">
        <f t="shared" si="0"/>
        <v>Meta</v>
      </c>
      <c r="C42" s="3" t="str">
        <f>'01_Raw_Meta'!B42</f>
        <v>Campaign_A</v>
      </c>
      <c r="D42" s="3" t="str">
        <f>'01_Raw_Meta'!C42</f>
        <v>Retargeting</v>
      </c>
      <c r="E42" s="3" t="str">
        <f>'01_Raw_Meta'!D42</f>
        <v>Creative_2</v>
      </c>
      <c r="F42" s="3">
        <f>'01_Raw_Meta'!E42</f>
        <v>181.53</v>
      </c>
      <c r="G42" s="3">
        <f>'01_Raw_Meta'!F42</f>
        <v>10662</v>
      </c>
      <c r="H42" s="3">
        <f>'01_Raw_Meta'!G42</f>
        <v>940</v>
      </c>
      <c r="I42" s="3">
        <f>'01_Raw_Meta'!H42</f>
        <v>96</v>
      </c>
      <c r="J42" s="3">
        <f>'01_Raw_Meta'!I42</f>
        <v>54</v>
      </c>
      <c r="K42" s="3">
        <f>'01_Raw_Meta'!J42</f>
        <v>1109.4000000000001</v>
      </c>
    </row>
    <row r="43" spans="1:11">
      <c r="A43" s="4">
        <f>'01_Raw_Meta'!A43</f>
        <v>46034</v>
      </c>
      <c r="B43" s="3" t="str">
        <f t="shared" si="0"/>
        <v>Meta</v>
      </c>
      <c r="C43" s="3" t="str">
        <f>'01_Raw_Meta'!B43</f>
        <v>Campaign_C</v>
      </c>
      <c r="D43" s="3" t="str">
        <f>'01_Raw_Meta'!C43</f>
        <v>Prospecting</v>
      </c>
      <c r="E43" s="3" t="str">
        <f>'01_Raw_Meta'!D43</f>
        <v>Creative_2</v>
      </c>
      <c r="F43" s="3">
        <f>'01_Raw_Meta'!E43</f>
        <v>157.9</v>
      </c>
      <c r="G43" s="3">
        <f>'01_Raw_Meta'!F43</f>
        <v>17964</v>
      </c>
      <c r="H43" s="3">
        <f>'01_Raw_Meta'!G43</f>
        <v>618</v>
      </c>
      <c r="I43" s="3">
        <f>'01_Raw_Meta'!H43</f>
        <v>105</v>
      </c>
      <c r="J43" s="3">
        <f>'01_Raw_Meta'!I43</f>
        <v>44</v>
      </c>
      <c r="K43" s="3">
        <f>'01_Raw_Meta'!J43</f>
        <v>1468.98</v>
      </c>
    </row>
    <row r="44" spans="1:11">
      <c r="A44" s="4">
        <f>'01_Raw_Meta'!A44</f>
        <v>46035</v>
      </c>
      <c r="B44" s="3" t="str">
        <f t="shared" si="0"/>
        <v>Meta</v>
      </c>
      <c r="C44" s="3" t="str">
        <f>'01_Raw_Meta'!B44</f>
        <v>Campaign_C</v>
      </c>
      <c r="D44" s="3" t="str">
        <f>'01_Raw_Meta'!C44</f>
        <v>Prospecting</v>
      </c>
      <c r="E44" s="3" t="str">
        <f>'01_Raw_Meta'!D44</f>
        <v>Creative_3</v>
      </c>
      <c r="F44" s="3">
        <f>'01_Raw_Meta'!E44</f>
        <v>74.67</v>
      </c>
      <c r="G44" s="3">
        <f>'01_Raw_Meta'!F44</f>
        <v>16125</v>
      </c>
      <c r="H44" s="3">
        <f>'01_Raw_Meta'!G44</f>
        <v>1112</v>
      </c>
      <c r="I44" s="3">
        <f>'01_Raw_Meta'!H44</f>
        <v>45</v>
      </c>
      <c r="J44" s="3">
        <f>'01_Raw_Meta'!I44</f>
        <v>5</v>
      </c>
      <c r="K44" s="3">
        <f>'01_Raw_Meta'!J44</f>
        <v>218.45</v>
      </c>
    </row>
    <row r="45" spans="1:11">
      <c r="A45" s="4">
        <f>'01_Raw_Meta'!A45</f>
        <v>46036</v>
      </c>
      <c r="B45" s="3" t="str">
        <f t="shared" si="0"/>
        <v>Meta</v>
      </c>
      <c r="C45" s="3" t="str">
        <f>'01_Raw_Meta'!B45</f>
        <v>Campaign_A</v>
      </c>
      <c r="D45" s="3" t="str">
        <f>'01_Raw_Meta'!C45</f>
        <v>Prospecting</v>
      </c>
      <c r="E45" s="3" t="str">
        <f>'01_Raw_Meta'!D45</f>
        <v>Creative_1</v>
      </c>
      <c r="F45" s="3">
        <f>'01_Raw_Meta'!E45</f>
        <v>222.29</v>
      </c>
      <c r="G45" s="3">
        <f>'01_Raw_Meta'!F45</f>
        <v>9130</v>
      </c>
      <c r="H45" s="3">
        <f>'01_Raw_Meta'!G45</f>
        <v>158</v>
      </c>
      <c r="I45" s="3">
        <f>'01_Raw_Meta'!H45</f>
        <v>104</v>
      </c>
      <c r="J45" s="3">
        <f>'01_Raw_Meta'!I45</f>
        <v>30</v>
      </c>
      <c r="K45" s="3">
        <f>'01_Raw_Meta'!J45</f>
        <v>380.7</v>
      </c>
    </row>
    <row r="46" spans="1:11">
      <c r="A46" s="4">
        <f>'01_Raw_Meta'!A46</f>
        <v>46037</v>
      </c>
      <c r="B46" s="3" t="str">
        <f t="shared" si="0"/>
        <v>Meta</v>
      </c>
      <c r="C46" s="3" t="str">
        <f>'01_Raw_Meta'!B46</f>
        <v>Campaign_A</v>
      </c>
      <c r="D46" s="3" t="str">
        <f>'01_Raw_Meta'!C46</f>
        <v>Retargeting</v>
      </c>
      <c r="E46" s="3" t="str">
        <f>'01_Raw_Meta'!D46</f>
        <v>Creative_1</v>
      </c>
      <c r="F46" s="3">
        <f>'01_Raw_Meta'!E46</f>
        <v>98.62</v>
      </c>
      <c r="G46" s="3">
        <f>'01_Raw_Meta'!F46</f>
        <v>2679</v>
      </c>
      <c r="H46" s="3">
        <f>'01_Raw_Meta'!G46</f>
        <v>1115</v>
      </c>
      <c r="I46" s="3">
        <f>'01_Raw_Meta'!H46</f>
        <v>68</v>
      </c>
      <c r="J46" s="3">
        <f>'01_Raw_Meta'!I46</f>
        <v>30</v>
      </c>
      <c r="K46" s="3">
        <f>'01_Raw_Meta'!J46</f>
        <v>352.92</v>
      </c>
    </row>
    <row r="47" spans="1:11">
      <c r="A47" s="4">
        <f>'01_Raw_Meta'!A47</f>
        <v>46038</v>
      </c>
      <c r="B47" s="3" t="str">
        <f t="shared" si="0"/>
        <v>Meta</v>
      </c>
      <c r="C47" s="3" t="str">
        <f>'01_Raw_Meta'!B47</f>
        <v>Campaign_C</v>
      </c>
      <c r="D47" s="3" t="str">
        <f>'01_Raw_Meta'!C47</f>
        <v>Prospecting</v>
      </c>
      <c r="E47" s="3" t="str">
        <f>'01_Raw_Meta'!D47</f>
        <v>Creative_1</v>
      </c>
      <c r="F47" s="3">
        <f>'01_Raw_Meta'!E47</f>
        <v>26.81</v>
      </c>
      <c r="G47" s="3">
        <f>'01_Raw_Meta'!F47</f>
        <v>4506</v>
      </c>
      <c r="H47" s="3">
        <f>'01_Raw_Meta'!G47</f>
        <v>984</v>
      </c>
      <c r="I47" s="3">
        <f>'01_Raw_Meta'!H47</f>
        <v>31</v>
      </c>
      <c r="J47" s="3">
        <f>'01_Raw_Meta'!I47</f>
        <v>59</v>
      </c>
      <c r="K47" s="3">
        <f>'01_Raw_Meta'!J47</f>
        <v>1405.61</v>
      </c>
    </row>
    <row r="48" spans="1:11">
      <c r="A48" s="4">
        <f>'01_Raw_Meta'!A48</f>
        <v>46039</v>
      </c>
      <c r="B48" s="3" t="str">
        <f t="shared" si="0"/>
        <v>Meta</v>
      </c>
      <c r="C48" s="3" t="str">
        <f>'01_Raw_Meta'!B48</f>
        <v>Campaign_B</v>
      </c>
      <c r="D48" s="3" t="str">
        <f>'01_Raw_Meta'!C48</f>
        <v>Prospecting</v>
      </c>
      <c r="E48" s="3" t="str">
        <f>'01_Raw_Meta'!D48</f>
        <v>Creative_3</v>
      </c>
      <c r="F48" s="3">
        <f>'01_Raw_Meta'!E48</f>
        <v>200.73</v>
      </c>
      <c r="G48" s="3">
        <f>'01_Raw_Meta'!F48</f>
        <v>14284</v>
      </c>
      <c r="H48" s="3">
        <f>'01_Raw_Meta'!G48</f>
        <v>447</v>
      </c>
      <c r="I48" s="3">
        <f>'01_Raw_Meta'!H48</f>
        <v>67</v>
      </c>
      <c r="J48" s="3">
        <f>'01_Raw_Meta'!I48</f>
        <v>57</v>
      </c>
      <c r="K48" s="3">
        <f>'01_Raw_Meta'!J48</f>
        <v>1704.44</v>
      </c>
    </row>
    <row r="49" spans="1:11">
      <c r="A49" s="4">
        <f>'01_Raw_Meta'!A49</f>
        <v>46040</v>
      </c>
      <c r="B49" s="3" t="str">
        <f t="shared" si="0"/>
        <v>Meta</v>
      </c>
      <c r="C49" s="3" t="str">
        <f>'01_Raw_Meta'!B49</f>
        <v>Campaign_A</v>
      </c>
      <c r="D49" s="3" t="str">
        <f>'01_Raw_Meta'!C49</f>
        <v>Retargeting</v>
      </c>
      <c r="E49" s="3" t="str">
        <f>'01_Raw_Meta'!D49</f>
        <v>Creative_2</v>
      </c>
      <c r="F49" s="3">
        <f>'01_Raw_Meta'!E49</f>
        <v>69.59</v>
      </c>
      <c r="G49" s="3">
        <f>'01_Raw_Meta'!F49</f>
        <v>8253</v>
      </c>
      <c r="H49" s="3">
        <f>'01_Raw_Meta'!G49</f>
        <v>683</v>
      </c>
      <c r="I49" s="3">
        <f>'01_Raw_Meta'!H49</f>
        <v>21</v>
      </c>
      <c r="J49" s="3">
        <f>'01_Raw_Meta'!I49</f>
        <v>17</v>
      </c>
      <c r="K49" s="3">
        <f>'01_Raw_Meta'!J49</f>
        <v>1524.27</v>
      </c>
    </row>
    <row r="50" spans="1:11">
      <c r="A50" s="4">
        <f>'01_Raw_Meta'!A50</f>
        <v>46041</v>
      </c>
      <c r="B50" s="3" t="str">
        <f t="shared" si="0"/>
        <v>Meta</v>
      </c>
      <c r="C50" s="3" t="str">
        <f>'01_Raw_Meta'!B50</f>
        <v>Campaign_B</v>
      </c>
      <c r="D50" s="3" t="str">
        <f>'01_Raw_Meta'!C50</f>
        <v>Prospecting</v>
      </c>
      <c r="E50" s="3" t="str">
        <f>'01_Raw_Meta'!D50</f>
        <v>Creative_2</v>
      </c>
      <c r="F50" s="3">
        <f>'01_Raw_Meta'!E50</f>
        <v>283.33</v>
      </c>
      <c r="G50" s="3">
        <f>'01_Raw_Meta'!F50</f>
        <v>10435</v>
      </c>
      <c r="H50" s="3">
        <f>'01_Raw_Meta'!G50</f>
        <v>782</v>
      </c>
      <c r="I50" s="3">
        <f>'01_Raw_Meta'!H50</f>
        <v>77</v>
      </c>
      <c r="J50" s="3">
        <f>'01_Raw_Meta'!I50</f>
        <v>48</v>
      </c>
      <c r="K50" s="3">
        <f>'01_Raw_Meta'!J50</f>
        <v>157.9</v>
      </c>
    </row>
    <row r="51" spans="1:11">
      <c r="A51" s="4">
        <f>'01_Raw_Meta'!A51</f>
        <v>46042</v>
      </c>
      <c r="B51" s="3" t="str">
        <f t="shared" si="0"/>
        <v>Meta</v>
      </c>
      <c r="C51" s="3" t="str">
        <f>'01_Raw_Meta'!B51</f>
        <v>Campaign_B</v>
      </c>
      <c r="D51" s="3" t="str">
        <f>'01_Raw_Meta'!C51</f>
        <v>Prospecting</v>
      </c>
      <c r="E51" s="3" t="str">
        <f>'01_Raw_Meta'!D51</f>
        <v>Creative_1</v>
      </c>
      <c r="F51" s="3">
        <f>'01_Raw_Meta'!E51</f>
        <v>287.10000000000002</v>
      </c>
      <c r="G51" s="3">
        <f>'01_Raw_Meta'!F51</f>
        <v>12310</v>
      </c>
      <c r="H51" s="3">
        <f>'01_Raw_Meta'!G51</f>
        <v>284</v>
      </c>
      <c r="I51" s="3">
        <f>'01_Raw_Meta'!H51</f>
        <v>37</v>
      </c>
      <c r="J51" s="3">
        <f>'01_Raw_Meta'!I51</f>
        <v>47</v>
      </c>
      <c r="K51" s="3">
        <f>'01_Raw_Meta'!J51</f>
        <v>1747.71</v>
      </c>
    </row>
    <row r="52" spans="1:11">
      <c r="A52" s="4">
        <f>'01_Raw_Meta'!A52</f>
        <v>46043</v>
      </c>
      <c r="B52" s="3" t="str">
        <f t="shared" si="0"/>
        <v>Meta</v>
      </c>
      <c r="C52" s="3" t="str">
        <f>'01_Raw_Meta'!B52</f>
        <v>Campaign_B</v>
      </c>
      <c r="D52" s="3" t="str">
        <f>'01_Raw_Meta'!C52</f>
        <v>Prospecting</v>
      </c>
      <c r="E52" s="3" t="str">
        <f>'01_Raw_Meta'!D52</f>
        <v>Creative_2</v>
      </c>
      <c r="F52" s="3">
        <f>'01_Raw_Meta'!E52</f>
        <v>276.16000000000003</v>
      </c>
      <c r="G52" s="3">
        <f>'01_Raw_Meta'!F52</f>
        <v>14296</v>
      </c>
      <c r="H52" s="3">
        <f>'01_Raw_Meta'!G52</f>
        <v>707</v>
      </c>
      <c r="I52" s="3">
        <f>'01_Raw_Meta'!H52</f>
        <v>88</v>
      </c>
      <c r="J52" s="3">
        <f>'01_Raw_Meta'!I52</f>
        <v>23</v>
      </c>
      <c r="K52" s="3">
        <f>'01_Raw_Meta'!J52</f>
        <v>772.88</v>
      </c>
    </row>
    <row r="53" spans="1:11">
      <c r="A53" s="4">
        <f>'01_Raw_Meta'!A53</f>
        <v>46044</v>
      </c>
      <c r="B53" s="3" t="str">
        <f t="shared" si="0"/>
        <v>Meta</v>
      </c>
      <c r="C53" s="3" t="str">
        <f>'01_Raw_Meta'!B53</f>
        <v>Campaign_A</v>
      </c>
      <c r="D53" s="3" t="str">
        <f>'01_Raw_Meta'!C53</f>
        <v>Prospecting</v>
      </c>
      <c r="E53" s="3" t="str">
        <f>'01_Raw_Meta'!D53</f>
        <v>Creative_2</v>
      </c>
      <c r="F53" s="3">
        <f>'01_Raw_Meta'!E53</f>
        <v>123.64</v>
      </c>
      <c r="G53" s="3">
        <f>'01_Raw_Meta'!F53</f>
        <v>19525</v>
      </c>
      <c r="H53" s="3">
        <f>'01_Raw_Meta'!G53</f>
        <v>800</v>
      </c>
      <c r="I53" s="3">
        <f>'01_Raw_Meta'!H53</f>
        <v>81</v>
      </c>
      <c r="J53" s="3">
        <f>'01_Raw_Meta'!I53</f>
        <v>15</v>
      </c>
      <c r="K53" s="3">
        <f>'01_Raw_Meta'!J53</f>
        <v>854.61</v>
      </c>
    </row>
    <row r="54" spans="1:11">
      <c r="A54" s="4">
        <f>'01_Raw_Meta'!A54</f>
        <v>46045</v>
      </c>
      <c r="B54" s="3" t="str">
        <f t="shared" si="0"/>
        <v>Meta</v>
      </c>
      <c r="C54" s="3" t="str">
        <f>'01_Raw_Meta'!B54</f>
        <v>Campaign_B</v>
      </c>
      <c r="D54" s="3" t="str">
        <f>'01_Raw_Meta'!C54</f>
        <v>Prospecting</v>
      </c>
      <c r="E54" s="3" t="str">
        <f>'01_Raw_Meta'!D54</f>
        <v>Creative_3</v>
      </c>
      <c r="F54" s="3">
        <f>'01_Raw_Meta'!E54</f>
        <v>24.33</v>
      </c>
      <c r="G54" s="3">
        <f>'01_Raw_Meta'!F54</f>
        <v>14245</v>
      </c>
      <c r="H54" s="3">
        <f>'01_Raw_Meta'!G54</f>
        <v>637</v>
      </c>
      <c r="I54" s="3">
        <f>'01_Raw_Meta'!H54</f>
        <v>96</v>
      </c>
      <c r="J54" s="3">
        <f>'01_Raw_Meta'!I54</f>
        <v>37</v>
      </c>
      <c r="K54" s="3">
        <f>'01_Raw_Meta'!J54</f>
        <v>299.25</v>
      </c>
    </row>
    <row r="55" spans="1:11">
      <c r="A55" s="4">
        <f>'01_Raw_Meta'!A55</f>
        <v>46046</v>
      </c>
      <c r="B55" s="3" t="str">
        <f t="shared" si="0"/>
        <v>Meta</v>
      </c>
      <c r="C55" s="3" t="str">
        <f>'01_Raw_Meta'!B55</f>
        <v>Campaign_A</v>
      </c>
      <c r="D55" s="3" t="str">
        <f>'01_Raw_Meta'!C55</f>
        <v>Retargeting</v>
      </c>
      <c r="E55" s="3" t="str">
        <f>'01_Raw_Meta'!D55</f>
        <v>Creative_3</v>
      </c>
      <c r="F55" s="3">
        <f>'01_Raw_Meta'!E55</f>
        <v>279.93</v>
      </c>
      <c r="G55" s="3">
        <f>'01_Raw_Meta'!F55</f>
        <v>12151</v>
      </c>
      <c r="H55" s="3">
        <f>'01_Raw_Meta'!G55</f>
        <v>1082</v>
      </c>
      <c r="I55" s="3">
        <f>'01_Raw_Meta'!H55</f>
        <v>116</v>
      </c>
      <c r="J55" s="3">
        <f>'01_Raw_Meta'!I55</f>
        <v>21</v>
      </c>
      <c r="K55" s="3">
        <f>'01_Raw_Meta'!J55</f>
        <v>1501.07</v>
      </c>
    </row>
    <row r="56" spans="1:11">
      <c r="A56" s="4">
        <f>'01_Raw_Meta'!A56</f>
        <v>46047</v>
      </c>
      <c r="B56" s="3" t="str">
        <f t="shared" si="0"/>
        <v>Meta</v>
      </c>
      <c r="C56" s="3" t="str">
        <f>'01_Raw_Meta'!B56</f>
        <v>Campaign_B</v>
      </c>
      <c r="D56" s="3" t="str">
        <f>'01_Raw_Meta'!C56</f>
        <v>Retargeting</v>
      </c>
      <c r="E56" s="3" t="str">
        <f>'01_Raw_Meta'!D56</f>
        <v>Creative_3</v>
      </c>
      <c r="F56" s="3">
        <f>'01_Raw_Meta'!E56</f>
        <v>139.88999999999999</v>
      </c>
      <c r="G56" s="3">
        <f>'01_Raw_Meta'!F56</f>
        <v>11457</v>
      </c>
      <c r="H56" s="3">
        <f>'01_Raw_Meta'!G56</f>
        <v>1147</v>
      </c>
      <c r="I56" s="3">
        <f>'01_Raw_Meta'!H56</f>
        <v>33</v>
      </c>
      <c r="J56" s="3">
        <f>'01_Raw_Meta'!I56</f>
        <v>14</v>
      </c>
      <c r="K56" s="3">
        <f>'01_Raw_Meta'!J56</f>
        <v>446.34</v>
      </c>
    </row>
    <row r="57" spans="1:11">
      <c r="A57" s="4">
        <f>'01_Raw_Meta'!A57</f>
        <v>46048</v>
      </c>
      <c r="B57" s="3" t="str">
        <f t="shared" si="0"/>
        <v>Meta</v>
      </c>
      <c r="C57" s="3" t="str">
        <f>'01_Raw_Meta'!B57</f>
        <v>Campaign_C</v>
      </c>
      <c r="D57" s="3" t="str">
        <f>'01_Raw_Meta'!C57</f>
        <v>Retargeting</v>
      </c>
      <c r="E57" s="3" t="str">
        <f>'01_Raw_Meta'!D57</f>
        <v>Creative_3</v>
      </c>
      <c r="F57" s="3">
        <f>'01_Raw_Meta'!E57</f>
        <v>290.66000000000003</v>
      </c>
      <c r="G57" s="3">
        <f>'01_Raw_Meta'!F57</f>
        <v>3479</v>
      </c>
      <c r="H57" s="3">
        <f>'01_Raw_Meta'!G57</f>
        <v>1003</v>
      </c>
      <c r="I57" s="3">
        <f>'01_Raw_Meta'!H57</f>
        <v>17</v>
      </c>
      <c r="J57" s="3">
        <f>'01_Raw_Meta'!I57</f>
        <v>2</v>
      </c>
      <c r="K57" s="3">
        <f>'01_Raw_Meta'!J57</f>
        <v>1171.53</v>
      </c>
    </row>
    <row r="58" spans="1:11">
      <c r="A58" s="4">
        <f>'01_Raw_Meta'!A58</f>
        <v>46049</v>
      </c>
      <c r="B58" s="3" t="str">
        <f t="shared" si="0"/>
        <v>Meta</v>
      </c>
      <c r="C58" s="3" t="str">
        <f>'01_Raw_Meta'!B58</f>
        <v>Campaign_C</v>
      </c>
      <c r="D58" s="3" t="str">
        <f>'01_Raw_Meta'!C58</f>
        <v>Prospecting</v>
      </c>
      <c r="E58" s="3" t="str">
        <f>'01_Raw_Meta'!D58</f>
        <v>Creative_1</v>
      </c>
      <c r="F58" s="3">
        <f>'01_Raw_Meta'!E58</f>
        <v>289.81</v>
      </c>
      <c r="G58" s="3">
        <f>'01_Raw_Meta'!F58</f>
        <v>5452</v>
      </c>
      <c r="H58" s="3">
        <f>'01_Raw_Meta'!G58</f>
        <v>541</v>
      </c>
      <c r="I58" s="3">
        <f>'01_Raw_Meta'!H58</f>
        <v>50</v>
      </c>
      <c r="J58" s="3">
        <f>'01_Raw_Meta'!I58</f>
        <v>11</v>
      </c>
      <c r="K58" s="3">
        <f>'01_Raw_Meta'!J58</f>
        <v>1697.35</v>
      </c>
    </row>
    <row r="59" spans="1:11">
      <c r="A59" s="4">
        <f>'01_Raw_Meta'!A59</f>
        <v>46050</v>
      </c>
      <c r="B59" s="3" t="str">
        <f t="shared" si="0"/>
        <v>Meta</v>
      </c>
      <c r="C59" s="3" t="str">
        <f>'01_Raw_Meta'!B59</f>
        <v>Campaign_A</v>
      </c>
      <c r="D59" s="3" t="str">
        <f>'01_Raw_Meta'!C59</f>
        <v>Prospecting</v>
      </c>
      <c r="E59" s="3" t="str">
        <f>'01_Raw_Meta'!D59</f>
        <v>Creative_3</v>
      </c>
      <c r="F59" s="3">
        <f>'01_Raw_Meta'!E59</f>
        <v>258.83999999999997</v>
      </c>
      <c r="G59" s="3">
        <f>'01_Raw_Meta'!F59</f>
        <v>6881</v>
      </c>
      <c r="H59" s="3">
        <f>'01_Raw_Meta'!G59</f>
        <v>962</v>
      </c>
      <c r="I59" s="3">
        <f>'01_Raw_Meta'!H59</f>
        <v>39</v>
      </c>
      <c r="J59" s="3">
        <f>'01_Raw_Meta'!I59</f>
        <v>51</v>
      </c>
      <c r="K59" s="3">
        <f>'01_Raw_Meta'!J59</f>
        <v>269.49</v>
      </c>
    </row>
    <row r="60" spans="1:11">
      <c r="A60" s="4">
        <f>'01_Raw_Meta'!A60</f>
        <v>46051</v>
      </c>
      <c r="B60" s="3" t="str">
        <f t="shared" si="0"/>
        <v>Meta</v>
      </c>
      <c r="C60" s="3" t="str">
        <f>'01_Raw_Meta'!B60</f>
        <v>Campaign_C</v>
      </c>
      <c r="D60" s="3" t="str">
        <f>'01_Raw_Meta'!C60</f>
        <v>Prospecting</v>
      </c>
      <c r="E60" s="3" t="str">
        <f>'01_Raw_Meta'!D60</f>
        <v>Creative_2</v>
      </c>
      <c r="F60" s="3">
        <f>'01_Raw_Meta'!E60</f>
        <v>102.45</v>
      </c>
      <c r="G60" s="3">
        <f>'01_Raw_Meta'!F60</f>
        <v>15069</v>
      </c>
      <c r="H60" s="3">
        <f>'01_Raw_Meta'!G60</f>
        <v>219</v>
      </c>
      <c r="I60" s="3">
        <f>'01_Raw_Meta'!H60</f>
        <v>10</v>
      </c>
      <c r="J60" s="3">
        <f>'01_Raw_Meta'!I60</f>
        <v>39</v>
      </c>
      <c r="K60" s="3">
        <f>'01_Raw_Meta'!J60</f>
        <v>1117.1400000000001</v>
      </c>
    </row>
    <row r="61" spans="1:11">
      <c r="A61" s="4">
        <f>'01_Raw_Meta'!A61</f>
        <v>46052</v>
      </c>
      <c r="B61" s="3" t="str">
        <f t="shared" si="0"/>
        <v>Meta</v>
      </c>
      <c r="C61" s="3" t="str">
        <f>'01_Raw_Meta'!B61</f>
        <v>Campaign_C</v>
      </c>
      <c r="D61" s="3" t="str">
        <f>'01_Raw_Meta'!C61</f>
        <v>Retargeting</v>
      </c>
      <c r="E61" s="3" t="str">
        <f>'01_Raw_Meta'!D61</f>
        <v>Creative_1</v>
      </c>
      <c r="F61" s="3">
        <f>'01_Raw_Meta'!E61</f>
        <v>127.83</v>
      </c>
      <c r="G61" s="3">
        <f>'01_Raw_Meta'!F61</f>
        <v>3849</v>
      </c>
      <c r="H61" s="3">
        <f>'01_Raw_Meta'!G61</f>
        <v>995</v>
      </c>
      <c r="I61" s="3">
        <f>'01_Raw_Meta'!H61</f>
        <v>86</v>
      </c>
      <c r="J61" s="3">
        <f>'01_Raw_Meta'!I61</f>
        <v>38</v>
      </c>
      <c r="K61" s="3">
        <f>'01_Raw_Meta'!J61</f>
        <v>543.11</v>
      </c>
    </row>
    <row r="62" spans="1:11">
      <c r="A62" s="4">
        <f>'01_Raw_Meta'!A62</f>
        <v>46023</v>
      </c>
      <c r="B62" s="3" t="str">
        <f t="shared" si="0"/>
        <v>Meta</v>
      </c>
      <c r="C62" s="3" t="str">
        <f>'01_Raw_Meta'!B62</f>
        <v>Campaign_B</v>
      </c>
      <c r="D62" s="3" t="str">
        <f>'01_Raw_Meta'!C62</f>
        <v>Prospecting</v>
      </c>
      <c r="E62" s="3" t="str">
        <f>'01_Raw_Meta'!D62</f>
        <v>Creative_2</v>
      </c>
      <c r="F62" s="3">
        <f>'01_Raw_Meta'!E62</f>
        <v>258.32</v>
      </c>
      <c r="G62" s="3">
        <f>'01_Raw_Meta'!F62</f>
        <v>8390</v>
      </c>
      <c r="H62" s="3">
        <f>'01_Raw_Meta'!G62</f>
        <v>844</v>
      </c>
      <c r="I62" s="3">
        <f>'01_Raw_Meta'!H62</f>
        <v>119</v>
      </c>
      <c r="J62" s="3">
        <f>'01_Raw_Meta'!I62</f>
        <v>34</v>
      </c>
      <c r="K62" s="3">
        <f>'01_Raw_Meta'!J62</f>
        <v>751.56</v>
      </c>
    </row>
    <row r="63" spans="1:11">
      <c r="A63" s="4">
        <f>'01_Raw_Meta'!A63</f>
        <v>46024</v>
      </c>
      <c r="B63" s="3" t="str">
        <f t="shared" si="0"/>
        <v>Meta</v>
      </c>
      <c r="C63" s="3" t="str">
        <f>'01_Raw_Meta'!B63</f>
        <v>Campaign_A</v>
      </c>
      <c r="D63" s="3" t="str">
        <f>'01_Raw_Meta'!C63</f>
        <v>Prospecting</v>
      </c>
      <c r="E63" s="3" t="str">
        <f>'01_Raw_Meta'!D63</f>
        <v>Creative_2</v>
      </c>
      <c r="F63" s="3">
        <f>'01_Raw_Meta'!E63</f>
        <v>108.74</v>
      </c>
      <c r="G63" s="3">
        <f>'01_Raw_Meta'!F63</f>
        <v>12922</v>
      </c>
      <c r="H63" s="3">
        <f>'01_Raw_Meta'!G63</f>
        <v>683</v>
      </c>
      <c r="I63" s="3">
        <f>'01_Raw_Meta'!H63</f>
        <v>73</v>
      </c>
      <c r="J63" s="3">
        <f>'01_Raw_Meta'!I63</f>
        <v>38</v>
      </c>
      <c r="K63" s="3">
        <f>'01_Raw_Meta'!J63</f>
        <v>1000.54</v>
      </c>
    </row>
    <row r="64" spans="1:11">
      <c r="A64" s="4">
        <f>'01_Raw_Meta'!A64</f>
        <v>46025</v>
      </c>
      <c r="B64" s="3" t="str">
        <f t="shared" si="0"/>
        <v>Meta</v>
      </c>
      <c r="C64" s="3" t="str">
        <f>'01_Raw_Meta'!B64</f>
        <v>Campaign_B</v>
      </c>
      <c r="D64" s="3" t="str">
        <f>'01_Raw_Meta'!C64</f>
        <v>Retargeting</v>
      </c>
      <c r="E64" s="3" t="str">
        <f>'01_Raw_Meta'!D64</f>
        <v>Creative_2</v>
      </c>
      <c r="F64" s="3">
        <f>'01_Raw_Meta'!E64</f>
        <v>67.459999999999994</v>
      </c>
      <c r="G64" s="3">
        <f>'01_Raw_Meta'!F64</f>
        <v>3489</v>
      </c>
      <c r="H64" s="3">
        <f>'01_Raw_Meta'!G64</f>
        <v>78</v>
      </c>
      <c r="I64" s="3">
        <f>'01_Raw_Meta'!H64</f>
        <v>51</v>
      </c>
      <c r="J64" s="3">
        <f>'01_Raw_Meta'!I64</f>
        <v>50</v>
      </c>
      <c r="K64" s="3">
        <f>'01_Raw_Meta'!J64</f>
        <v>774.7</v>
      </c>
    </row>
    <row r="65" spans="1:11">
      <c r="A65" s="4">
        <f>'01_Raw_Meta'!A65</f>
        <v>46026</v>
      </c>
      <c r="B65" s="3" t="str">
        <f t="shared" si="0"/>
        <v>Meta</v>
      </c>
      <c r="C65" s="3" t="str">
        <f>'01_Raw_Meta'!B65</f>
        <v>Campaign_B</v>
      </c>
      <c r="D65" s="3" t="str">
        <f>'01_Raw_Meta'!C65</f>
        <v>Prospecting</v>
      </c>
      <c r="E65" s="3" t="str">
        <f>'01_Raw_Meta'!D65</f>
        <v>Creative_3</v>
      </c>
      <c r="F65" s="3">
        <f>'01_Raw_Meta'!E65</f>
        <v>175.9</v>
      </c>
      <c r="G65" s="3">
        <f>'01_Raw_Meta'!F65</f>
        <v>10823</v>
      </c>
      <c r="H65" s="3">
        <f>'01_Raw_Meta'!G65</f>
        <v>388</v>
      </c>
      <c r="I65" s="3">
        <f>'01_Raw_Meta'!H65</f>
        <v>29</v>
      </c>
      <c r="J65" s="3">
        <f>'01_Raw_Meta'!I65</f>
        <v>34</v>
      </c>
      <c r="K65" s="3">
        <f>'01_Raw_Meta'!J65</f>
        <v>1332.76</v>
      </c>
    </row>
    <row r="66" spans="1:11">
      <c r="A66" s="4">
        <f>'01_Raw_Meta'!A66</f>
        <v>46027</v>
      </c>
      <c r="B66" s="3" t="str">
        <f t="shared" si="0"/>
        <v>Meta</v>
      </c>
      <c r="C66" s="3" t="str">
        <f>'01_Raw_Meta'!B66</f>
        <v>Campaign_B</v>
      </c>
      <c r="D66" s="3" t="str">
        <f>'01_Raw_Meta'!C66</f>
        <v>Retargeting</v>
      </c>
      <c r="E66" s="3" t="str">
        <f>'01_Raw_Meta'!D66</f>
        <v>Creative_3</v>
      </c>
      <c r="F66" s="3">
        <f>'01_Raw_Meta'!E66</f>
        <v>282.12</v>
      </c>
      <c r="G66" s="3">
        <f>'01_Raw_Meta'!F66</f>
        <v>10207</v>
      </c>
      <c r="H66" s="3">
        <f>'01_Raw_Meta'!G66</f>
        <v>549</v>
      </c>
      <c r="I66" s="3">
        <f>'01_Raw_Meta'!H66</f>
        <v>70</v>
      </c>
      <c r="J66" s="3">
        <f>'01_Raw_Meta'!I66</f>
        <v>18</v>
      </c>
      <c r="K66" s="3">
        <f>'01_Raw_Meta'!J66</f>
        <v>1011.21</v>
      </c>
    </row>
    <row r="67" spans="1:11">
      <c r="A67" s="4">
        <f>'01_Raw_Meta'!A67</f>
        <v>46028</v>
      </c>
      <c r="B67" s="3" t="str">
        <f t="shared" ref="B67:B101" si="1">"Meta"</f>
        <v>Meta</v>
      </c>
      <c r="C67" s="3" t="str">
        <f>'01_Raw_Meta'!B67</f>
        <v>Campaign_B</v>
      </c>
      <c r="D67" s="3" t="str">
        <f>'01_Raw_Meta'!C67</f>
        <v>Retargeting</v>
      </c>
      <c r="E67" s="3" t="str">
        <f>'01_Raw_Meta'!D67</f>
        <v>Creative_1</v>
      </c>
      <c r="F67" s="3">
        <f>'01_Raw_Meta'!E67</f>
        <v>214.89</v>
      </c>
      <c r="G67" s="3">
        <f>'01_Raw_Meta'!F67</f>
        <v>10540</v>
      </c>
      <c r="H67" s="3">
        <f>'01_Raw_Meta'!G67</f>
        <v>560</v>
      </c>
      <c r="I67" s="3">
        <f>'01_Raw_Meta'!H67</f>
        <v>14</v>
      </c>
      <c r="J67" s="3">
        <f>'01_Raw_Meta'!I67</f>
        <v>30</v>
      </c>
      <c r="K67" s="3">
        <f>'01_Raw_Meta'!J67</f>
        <v>1209.98</v>
      </c>
    </row>
    <row r="68" spans="1:11">
      <c r="A68" s="4">
        <f>'01_Raw_Meta'!A68</f>
        <v>46029</v>
      </c>
      <c r="B68" s="3" t="str">
        <f t="shared" si="1"/>
        <v>Meta</v>
      </c>
      <c r="C68" s="3" t="str">
        <f>'01_Raw_Meta'!B68</f>
        <v>Campaign_B</v>
      </c>
      <c r="D68" s="3" t="str">
        <f>'01_Raw_Meta'!C68</f>
        <v>Retargeting</v>
      </c>
      <c r="E68" s="3" t="str">
        <f>'01_Raw_Meta'!D68</f>
        <v>Creative_1</v>
      </c>
      <c r="F68" s="3">
        <f>'01_Raw_Meta'!E68</f>
        <v>179.62</v>
      </c>
      <c r="G68" s="3">
        <f>'01_Raw_Meta'!F68</f>
        <v>17364</v>
      </c>
      <c r="H68" s="3">
        <f>'01_Raw_Meta'!G68</f>
        <v>266</v>
      </c>
      <c r="I68" s="3">
        <f>'01_Raw_Meta'!H68</f>
        <v>60</v>
      </c>
      <c r="J68" s="3">
        <f>'01_Raw_Meta'!I68</f>
        <v>15</v>
      </c>
      <c r="K68" s="3">
        <f>'01_Raw_Meta'!J68</f>
        <v>1499.96</v>
      </c>
    </row>
    <row r="69" spans="1:11">
      <c r="A69" s="4">
        <f>'01_Raw_Meta'!A69</f>
        <v>46030</v>
      </c>
      <c r="B69" s="3" t="str">
        <f t="shared" si="1"/>
        <v>Meta</v>
      </c>
      <c r="C69" s="3" t="str">
        <f>'01_Raw_Meta'!B69</f>
        <v>Campaign_B</v>
      </c>
      <c r="D69" s="3" t="str">
        <f>'01_Raw_Meta'!C69</f>
        <v>Prospecting</v>
      </c>
      <c r="E69" s="3" t="str">
        <f>'01_Raw_Meta'!D69</f>
        <v>Creative_3</v>
      </c>
      <c r="F69" s="3">
        <f>'01_Raw_Meta'!E69</f>
        <v>47.21</v>
      </c>
      <c r="G69" s="3">
        <f>'01_Raw_Meta'!F69</f>
        <v>5611</v>
      </c>
      <c r="H69" s="3">
        <f>'01_Raw_Meta'!G69</f>
        <v>1143</v>
      </c>
      <c r="I69" s="3">
        <f>'01_Raw_Meta'!H69</f>
        <v>34</v>
      </c>
      <c r="J69" s="3">
        <f>'01_Raw_Meta'!I69</f>
        <v>27</v>
      </c>
      <c r="K69" s="3">
        <f>'01_Raw_Meta'!J69</f>
        <v>1159.71</v>
      </c>
    </row>
    <row r="70" spans="1:11">
      <c r="A70" s="4">
        <f>'01_Raw_Meta'!A70</f>
        <v>46031</v>
      </c>
      <c r="B70" s="3" t="str">
        <f t="shared" si="1"/>
        <v>Meta</v>
      </c>
      <c r="C70" s="3" t="str">
        <f>'01_Raw_Meta'!B70</f>
        <v>Campaign_B</v>
      </c>
      <c r="D70" s="3" t="str">
        <f>'01_Raw_Meta'!C70</f>
        <v>Prospecting</v>
      </c>
      <c r="E70" s="3" t="str">
        <f>'01_Raw_Meta'!D70</f>
        <v>Creative_2</v>
      </c>
      <c r="F70" s="3">
        <f>'01_Raw_Meta'!E70</f>
        <v>192.2</v>
      </c>
      <c r="G70" s="3">
        <f>'01_Raw_Meta'!F70</f>
        <v>6878</v>
      </c>
      <c r="H70" s="3">
        <f>'01_Raw_Meta'!G70</f>
        <v>494</v>
      </c>
      <c r="I70" s="3">
        <f>'01_Raw_Meta'!H70</f>
        <v>118</v>
      </c>
      <c r="J70" s="3">
        <f>'01_Raw_Meta'!I70</f>
        <v>51</v>
      </c>
      <c r="K70" s="3">
        <f>'01_Raw_Meta'!J70</f>
        <v>1214.42</v>
      </c>
    </row>
    <row r="71" spans="1:11">
      <c r="A71" s="4">
        <f>'01_Raw_Meta'!A71</f>
        <v>46032</v>
      </c>
      <c r="B71" s="3" t="str">
        <f t="shared" si="1"/>
        <v>Meta</v>
      </c>
      <c r="C71" s="3" t="str">
        <f>'01_Raw_Meta'!B71</f>
        <v>Campaign_A</v>
      </c>
      <c r="D71" s="3" t="str">
        <f>'01_Raw_Meta'!C71</f>
        <v>Prospecting</v>
      </c>
      <c r="E71" s="3" t="str">
        <f>'01_Raw_Meta'!D71</f>
        <v>Creative_1</v>
      </c>
      <c r="F71" s="3">
        <f>'01_Raw_Meta'!E71</f>
        <v>297.22000000000003</v>
      </c>
      <c r="G71" s="3">
        <f>'01_Raw_Meta'!F71</f>
        <v>17347</v>
      </c>
      <c r="H71" s="3">
        <f>'01_Raw_Meta'!G71</f>
        <v>925</v>
      </c>
      <c r="I71" s="3">
        <f>'01_Raw_Meta'!H71</f>
        <v>113</v>
      </c>
      <c r="J71" s="3">
        <f>'01_Raw_Meta'!I71</f>
        <v>34</v>
      </c>
      <c r="K71" s="3">
        <f>'01_Raw_Meta'!J71</f>
        <v>1172.47</v>
      </c>
    </row>
    <row r="72" spans="1:11">
      <c r="A72" s="4">
        <f>'01_Raw_Meta'!A72</f>
        <v>46033</v>
      </c>
      <c r="B72" s="3" t="str">
        <f t="shared" si="1"/>
        <v>Meta</v>
      </c>
      <c r="C72" s="3" t="str">
        <f>'01_Raw_Meta'!B72</f>
        <v>Campaign_C</v>
      </c>
      <c r="D72" s="3" t="str">
        <f>'01_Raw_Meta'!C72</f>
        <v>Prospecting</v>
      </c>
      <c r="E72" s="3" t="str">
        <f>'01_Raw_Meta'!D72</f>
        <v>Creative_3</v>
      </c>
      <c r="F72" s="3">
        <f>'01_Raw_Meta'!E72</f>
        <v>59.22</v>
      </c>
      <c r="G72" s="3">
        <f>'01_Raw_Meta'!F72</f>
        <v>1851</v>
      </c>
      <c r="H72" s="3">
        <f>'01_Raw_Meta'!G72</f>
        <v>216</v>
      </c>
      <c r="I72" s="3">
        <f>'01_Raw_Meta'!H72</f>
        <v>9</v>
      </c>
      <c r="J72" s="3">
        <f>'01_Raw_Meta'!I72</f>
        <v>52</v>
      </c>
      <c r="K72" s="3">
        <f>'01_Raw_Meta'!J72</f>
        <v>819.67</v>
      </c>
    </row>
    <row r="73" spans="1:11">
      <c r="A73" s="4">
        <f>'01_Raw_Meta'!A73</f>
        <v>46034</v>
      </c>
      <c r="B73" s="3" t="str">
        <f t="shared" si="1"/>
        <v>Meta</v>
      </c>
      <c r="C73" s="3" t="str">
        <f>'01_Raw_Meta'!B73</f>
        <v>Campaign_B</v>
      </c>
      <c r="D73" s="3" t="str">
        <f>'01_Raw_Meta'!C73</f>
        <v>Prospecting</v>
      </c>
      <c r="E73" s="3" t="str">
        <f>'01_Raw_Meta'!D73</f>
        <v>Creative_3</v>
      </c>
      <c r="F73" s="3">
        <f>'01_Raw_Meta'!E73</f>
        <v>165.13</v>
      </c>
      <c r="G73" s="3">
        <f>'01_Raw_Meta'!F73</f>
        <v>19071</v>
      </c>
      <c r="H73" s="3">
        <f>'01_Raw_Meta'!G73</f>
        <v>140</v>
      </c>
      <c r="I73" s="3">
        <f>'01_Raw_Meta'!H73</f>
        <v>37</v>
      </c>
      <c r="J73" s="3">
        <f>'01_Raw_Meta'!I73</f>
        <v>57</v>
      </c>
      <c r="K73" s="3">
        <f>'01_Raw_Meta'!J73</f>
        <v>741.15</v>
      </c>
    </row>
    <row r="74" spans="1:11">
      <c r="A74" s="4">
        <f>'01_Raw_Meta'!A74</f>
        <v>46035</v>
      </c>
      <c r="B74" s="3" t="str">
        <f t="shared" si="1"/>
        <v>Meta</v>
      </c>
      <c r="C74" s="3" t="str">
        <f>'01_Raw_Meta'!B74</f>
        <v>Campaign_B</v>
      </c>
      <c r="D74" s="3" t="str">
        <f>'01_Raw_Meta'!C74</f>
        <v>Prospecting</v>
      </c>
      <c r="E74" s="3" t="str">
        <f>'01_Raw_Meta'!D74</f>
        <v>Creative_3</v>
      </c>
      <c r="F74" s="3">
        <f>'01_Raw_Meta'!E74</f>
        <v>265.66000000000003</v>
      </c>
      <c r="G74" s="3">
        <f>'01_Raw_Meta'!F74</f>
        <v>7833</v>
      </c>
      <c r="H74" s="3">
        <f>'01_Raw_Meta'!G74</f>
        <v>763</v>
      </c>
      <c r="I74" s="3">
        <f>'01_Raw_Meta'!H74</f>
        <v>69</v>
      </c>
      <c r="J74" s="3">
        <f>'01_Raw_Meta'!I74</f>
        <v>38</v>
      </c>
      <c r="K74" s="3">
        <f>'01_Raw_Meta'!J74</f>
        <v>1809.33</v>
      </c>
    </row>
    <row r="75" spans="1:11">
      <c r="A75" s="4">
        <f>'01_Raw_Meta'!A75</f>
        <v>46036</v>
      </c>
      <c r="B75" s="3" t="str">
        <f t="shared" si="1"/>
        <v>Meta</v>
      </c>
      <c r="C75" s="3" t="str">
        <f>'01_Raw_Meta'!B75</f>
        <v>Campaign_B</v>
      </c>
      <c r="D75" s="3" t="str">
        <f>'01_Raw_Meta'!C75</f>
        <v>Prospecting</v>
      </c>
      <c r="E75" s="3" t="str">
        <f>'01_Raw_Meta'!D75</f>
        <v>Creative_2</v>
      </c>
      <c r="F75" s="3">
        <f>'01_Raw_Meta'!E75</f>
        <v>227.42</v>
      </c>
      <c r="G75" s="3">
        <f>'01_Raw_Meta'!F75</f>
        <v>12938</v>
      </c>
      <c r="H75" s="3">
        <f>'01_Raw_Meta'!G75</f>
        <v>88</v>
      </c>
      <c r="I75" s="3">
        <f>'01_Raw_Meta'!H75</f>
        <v>22</v>
      </c>
      <c r="J75" s="3">
        <f>'01_Raw_Meta'!I75</f>
        <v>33</v>
      </c>
      <c r="K75" s="3">
        <f>'01_Raw_Meta'!J75</f>
        <v>1254.3499999999999</v>
      </c>
    </row>
    <row r="76" spans="1:11">
      <c r="A76" s="4">
        <f>'01_Raw_Meta'!A76</f>
        <v>46037</v>
      </c>
      <c r="B76" s="3" t="str">
        <f t="shared" si="1"/>
        <v>Meta</v>
      </c>
      <c r="C76" s="3" t="str">
        <f>'01_Raw_Meta'!B76</f>
        <v>Campaign_B</v>
      </c>
      <c r="D76" s="3" t="str">
        <f>'01_Raw_Meta'!C76</f>
        <v>Retargeting</v>
      </c>
      <c r="E76" s="3" t="str">
        <f>'01_Raw_Meta'!D76</f>
        <v>Creative_3</v>
      </c>
      <c r="F76" s="3">
        <f>'01_Raw_Meta'!E76</f>
        <v>215.16</v>
      </c>
      <c r="G76" s="3">
        <f>'01_Raw_Meta'!F76</f>
        <v>3427</v>
      </c>
      <c r="H76" s="3">
        <f>'01_Raw_Meta'!G76</f>
        <v>1199</v>
      </c>
      <c r="I76" s="3">
        <f>'01_Raw_Meta'!H76</f>
        <v>100</v>
      </c>
      <c r="J76" s="3">
        <f>'01_Raw_Meta'!I76</f>
        <v>24</v>
      </c>
      <c r="K76" s="3">
        <f>'01_Raw_Meta'!J76</f>
        <v>564.27</v>
      </c>
    </row>
    <row r="77" spans="1:11">
      <c r="A77" s="4">
        <f>'01_Raw_Meta'!A77</f>
        <v>46038</v>
      </c>
      <c r="B77" s="3" t="str">
        <f t="shared" si="1"/>
        <v>Meta</v>
      </c>
      <c r="C77" s="3" t="str">
        <f>'01_Raw_Meta'!B77</f>
        <v>Campaign_B</v>
      </c>
      <c r="D77" s="3" t="str">
        <f>'01_Raw_Meta'!C77</f>
        <v>Prospecting</v>
      </c>
      <c r="E77" s="3" t="str">
        <f>'01_Raw_Meta'!D77</f>
        <v>Creative_3</v>
      </c>
      <c r="F77" s="3">
        <f>'01_Raw_Meta'!E77</f>
        <v>216.7</v>
      </c>
      <c r="G77" s="3">
        <f>'01_Raw_Meta'!F77</f>
        <v>5000</v>
      </c>
      <c r="H77" s="3">
        <f>'01_Raw_Meta'!G77</f>
        <v>222</v>
      </c>
      <c r="I77" s="3">
        <f>'01_Raw_Meta'!H77</f>
        <v>115</v>
      </c>
      <c r="J77" s="3">
        <f>'01_Raw_Meta'!I77</f>
        <v>15</v>
      </c>
      <c r="K77" s="3">
        <f>'01_Raw_Meta'!J77</f>
        <v>1046.67</v>
      </c>
    </row>
    <row r="78" spans="1:11">
      <c r="A78" s="4">
        <f>'01_Raw_Meta'!A78</f>
        <v>46039</v>
      </c>
      <c r="B78" s="3" t="str">
        <f t="shared" si="1"/>
        <v>Meta</v>
      </c>
      <c r="C78" s="3" t="str">
        <f>'01_Raw_Meta'!B78</f>
        <v>Campaign_B</v>
      </c>
      <c r="D78" s="3" t="str">
        <f>'01_Raw_Meta'!C78</f>
        <v>Retargeting</v>
      </c>
      <c r="E78" s="3" t="str">
        <f>'01_Raw_Meta'!D78</f>
        <v>Creative_3</v>
      </c>
      <c r="F78" s="3">
        <f>'01_Raw_Meta'!E78</f>
        <v>120.66</v>
      </c>
      <c r="G78" s="3">
        <f>'01_Raw_Meta'!F78</f>
        <v>6052</v>
      </c>
      <c r="H78" s="3">
        <f>'01_Raw_Meta'!G78</f>
        <v>702</v>
      </c>
      <c r="I78" s="3">
        <f>'01_Raw_Meta'!H78</f>
        <v>53</v>
      </c>
      <c r="J78" s="3">
        <f>'01_Raw_Meta'!I78</f>
        <v>30</v>
      </c>
      <c r="K78" s="3">
        <f>'01_Raw_Meta'!J78</f>
        <v>727.66</v>
      </c>
    </row>
    <row r="79" spans="1:11">
      <c r="A79" s="4">
        <f>'01_Raw_Meta'!A79</f>
        <v>46040</v>
      </c>
      <c r="B79" s="3" t="str">
        <f t="shared" si="1"/>
        <v>Meta</v>
      </c>
      <c r="C79" s="3" t="str">
        <f>'01_Raw_Meta'!B79</f>
        <v>Campaign_C</v>
      </c>
      <c r="D79" s="3" t="str">
        <f>'01_Raw_Meta'!C79</f>
        <v>Prospecting</v>
      </c>
      <c r="E79" s="3" t="str">
        <f>'01_Raw_Meta'!D79</f>
        <v>Creative_3</v>
      </c>
      <c r="F79" s="3">
        <f>'01_Raw_Meta'!E79</f>
        <v>102.21</v>
      </c>
      <c r="G79" s="3">
        <f>'01_Raw_Meta'!F79</f>
        <v>3738</v>
      </c>
      <c r="H79" s="3">
        <f>'01_Raw_Meta'!G79</f>
        <v>803</v>
      </c>
      <c r="I79" s="3">
        <f>'01_Raw_Meta'!H79</f>
        <v>15</v>
      </c>
      <c r="J79" s="3">
        <f>'01_Raw_Meta'!I79</f>
        <v>55</v>
      </c>
      <c r="K79" s="3">
        <f>'01_Raw_Meta'!J79</f>
        <v>1874.01</v>
      </c>
    </row>
    <row r="80" spans="1:11">
      <c r="A80" s="4">
        <f>'01_Raw_Meta'!A80</f>
        <v>46041</v>
      </c>
      <c r="B80" s="3" t="str">
        <f t="shared" si="1"/>
        <v>Meta</v>
      </c>
      <c r="C80" s="3" t="str">
        <f>'01_Raw_Meta'!B80</f>
        <v>Campaign_C</v>
      </c>
      <c r="D80" s="3" t="str">
        <f>'01_Raw_Meta'!C80</f>
        <v>Prospecting</v>
      </c>
      <c r="E80" s="3" t="str">
        <f>'01_Raw_Meta'!D80</f>
        <v>Creative_1</v>
      </c>
      <c r="F80" s="3">
        <f>'01_Raw_Meta'!E80</f>
        <v>246.62</v>
      </c>
      <c r="G80" s="3">
        <f>'01_Raw_Meta'!F80</f>
        <v>6387</v>
      </c>
      <c r="H80" s="3">
        <f>'01_Raw_Meta'!G80</f>
        <v>1131</v>
      </c>
      <c r="I80" s="3">
        <f>'01_Raw_Meta'!H80</f>
        <v>89</v>
      </c>
      <c r="J80" s="3">
        <f>'01_Raw_Meta'!I80</f>
        <v>42</v>
      </c>
      <c r="K80" s="3">
        <f>'01_Raw_Meta'!J80</f>
        <v>114.32</v>
      </c>
    </row>
    <row r="81" spans="1:11">
      <c r="A81" s="4">
        <f>'01_Raw_Meta'!A81</f>
        <v>46042</v>
      </c>
      <c r="B81" s="3" t="str">
        <f t="shared" si="1"/>
        <v>Meta</v>
      </c>
      <c r="C81" s="3" t="str">
        <f>'01_Raw_Meta'!B81</f>
        <v>Campaign_B</v>
      </c>
      <c r="D81" s="3" t="str">
        <f>'01_Raw_Meta'!C81</f>
        <v>Prospecting</v>
      </c>
      <c r="E81" s="3" t="str">
        <f>'01_Raw_Meta'!D81</f>
        <v>Creative_1</v>
      </c>
      <c r="F81" s="3">
        <f>'01_Raw_Meta'!E81</f>
        <v>246.83</v>
      </c>
      <c r="G81" s="3">
        <f>'01_Raw_Meta'!F81</f>
        <v>9002</v>
      </c>
      <c r="H81" s="3">
        <f>'01_Raw_Meta'!G81</f>
        <v>525</v>
      </c>
      <c r="I81" s="3">
        <f>'01_Raw_Meta'!H81</f>
        <v>30</v>
      </c>
      <c r="J81" s="3">
        <f>'01_Raw_Meta'!I81</f>
        <v>51</v>
      </c>
      <c r="K81" s="3">
        <f>'01_Raw_Meta'!J81</f>
        <v>528.13</v>
      </c>
    </row>
    <row r="82" spans="1:11">
      <c r="A82" s="4">
        <f>'01_Raw_Meta'!A82</f>
        <v>46043</v>
      </c>
      <c r="B82" s="3" t="str">
        <f t="shared" si="1"/>
        <v>Meta</v>
      </c>
      <c r="C82" s="3" t="str">
        <f>'01_Raw_Meta'!B82</f>
        <v>Campaign_C</v>
      </c>
      <c r="D82" s="3" t="str">
        <f>'01_Raw_Meta'!C82</f>
        <v>Retargeting</v>
      </c>
      <c r="E82" s="3" t="str">
        <f>'01_Raw_Meta'!D82</f>
        <v>Creative_3</v>
      </c>
      <c r="F82" s="3">
        <f>'01_Raw_Meta'!E82</f>
        <v>262.77999999999997</v>
      </c>
      <c r="G82" s="3">
        <f>'01_Raw_Meta'!F82</f>
        <v>6536</v>
      </c>
      <c r="H82" s="3">
        <f>'01_Raw_Meta'!G82</f>
        <v>505</v>
      </c>
      <c r="I82" s="3">
        <f>'01_Raw_Meta'!H82</f>
        <v>67</v>
      </c>
      <c r="J82" s="3">
        <f>'01_Raw_Meta'!I82</f>
        <v>17</v>
      </c>
      <c r="K82" s="3">
        <f>'01_Raw_Meta'!J82</f>
        <v>794.18</v>
      </c>
    </row>
    <row r="83" spans="1:11">
      <c r="A83" s="4">
        <f>'01_Raw_Meta'!A83</f>
        <v>46044</v>
      </c>
      <c r="B83" s="3" t="str">
        <f t="shared" si="1"/>
        <v>Meta</v>
      </c>
      <c r="C83" s="3" t="str">
        <f>'01_Raw_Meta'!B83</f>
        <v>Campaign_A</v>
      </c>
      <c r="D83" s="3" t="str">
        <f>'01_Raw_Meta'!C83</f>
        <v>Retargeting</v>
      </c>
      <c r="E83" s="3" t="str">
        <f>'01_Raw_Meta'!D83</f>
        <v>Creative_2</v>
      </c>
      <c r="F83" s="3">
        <f>'01_Raw_Meta'!E83</f>
        <v>275.70999999999998</v>
      </c>
      <c r="G83" s="3">
        <f>'01_Raw_Meta'!F83</f>
        <v>14479</v>
      </c>
      <c r="H83" s="3">
        <f>'01_Raw_Meta'!G83</f>
        <v>878</v>
      </c>
      <c r="I83" s="3">
        <f>'01_Raw_Meta'!H83</f>
        <v>93</v>
      </c>
      <c r="J83" s="3">
        <f>'01_Raw_Meta'!I83</f>
        <v>5</v>
      </c>
      <c r="K83" s="3">
        <f>'01_Raw_Meta'!J83</f>
        <v>1026.8399999999999</v>
      </c>
    </row>
    <row r="84" spans="1:11">
      <c r="A84" s="4">
        <f>'01_Raw_Meta'!A84</f>
        <v>46045</v>
      </c>
      <c r="B84" s="3" t="str">
        <f t="shared" si="1"/>
        <v>Meta</v>
      </c>
      <c r="C84" s="3" t="str">
        <f>'01_Raw_Meta'!B84</f>
        <v>Campaign_B</v>
      </c>
      <c r="D84" s="3" t="str">
        <f>'01_Raw_Meta'!C84</f>
        <v>Retargeting</v>
      </c>
      <c r="E84" s="3" t="str">
        <f>'01_Raw_Meta'!D84</f>
        <v>Creative_1</v>
      </c>
      <c r="F84" s="3">
        <f>'01_Raw_Meta'!E84</f>
        <v>163.18</v>
      </c>
      <c r="G84" s="3">
        <f>'01_Raw_Meta'!F84</f>
        <v>4913</v>
      </c>
      <c r="H84" s="3">
        <f>'01_Raw_Meta'!G84</f>
        <v>944</v>
      </c>
      <c r="I84" s="3">
        <f>'01_Raw_Meta'!H84</f>
        <v>90</v>
      </c>
      <c r="J84" s="3">
        <f>'01_Raw_Meta'!I84</f>
        <v>29</v>
      </c>
      <c r="K84" s="3">
        <f>'01_Raw_Meta'!J84</f>
        <v>1716.55</v>
      </c>
    </row>
    <row r="85" spans="1:11">
      <c r="A85" s="4">
        <f>'01_Raw_Meta'!A85</f>
        <v>46046</v>
      </c>
      <c r="B85" s="3" t="str">
        <f t="shared" si="1"/>
        <v>Meta</v>
      </c>
      <c r="C85" s="3" t="str">
        <f>'01_Raw_Meta'!B85</f>
        <v>Campaign_A</v>
      </c>
      <c r="D85" s="3" t="str">
        <f>'01_Raw_Meta'!C85</f>
        <v>Retargeting</v>
      </c>
      <c r="E85" s="3" t="str">
        <f>'01_Raw_Meta'!D85</f>
        <v>Creative_3</v>
      </c>
      <c r="F85" s="3">
        <f>'01_Raw_Meta'!E85</f>
        <v>160.41999999999999</v>
      </c>
      <c r="G85" s="3">
        <f>'01_Raw_Meta'!F85</f>
        <v>18450</v>
      </c>
      <c r="H85" s="3">
        <f>'01_Raw_Meta'!G85</f>
        <v>1074</v>
      </c>
      <c r="I85" s="3">
        <f>'01_Raw_Meta'!H85</f>
        <v>63</v>
      </c>
      <c r="J85" s="3">
        <f>'01_Raw_Meta'!I85</f>
        <v>4</v>
      </c>
      <c r="K85" s="3">
        <f>'01_Raw_Meta'!J85</f>
        <v>266.99</v>
      </c>
    </row>
    <row r="86" spans="1:11">
      <c r="A86" s="4">
        <f>'01_Raw_Meta'!A86</f>
        <v>46047</v>
      </c>
      <c r="B86" s="3" t="str">
        <f t="shared" si="1"/>
        <v>Meta</v>
      </c>
      <c r="C86" s="3" t="str">
        <f>'01_Raw_Meta'!B86</f>
        <v>Campaign_A</v>
      </c>
      <c r="D86" s="3" t="str">
        <f>'01_Raw_Meta'!C86</f>
        <v>Prospecting</v>
      </c>
      <c r="E86" s="3" t="str">
        <f>'01_Raw_Meta'!D86</f>
        <v>Creative_1</v>
      </c>
      <c r="F86" s="3">
        <f>'01_Raw_Meta'!E86</f>
        <v>243.52</v>
      </c>
      <c r="G86" s="3">
        <f>'01_Raw_Meta'!F86</f>
        <v>11636</v>
      </c>
      <c r="H86" s="3">
        <f>'01_Raw_Meta'!G86</f>
        <v>436</v>
      </c>
      <c r="I86" s="3">
        <f>'01_Raw_Meta'!H86</f>
        <v>31</v>
      </c>
      <c r="J86" s="3">
        <f>'01_Raw_Meta'!I86</f>
        <v>10</v>
      </c>
      <c r="K86" s="3">
        <f>'01_Raw_Meta'!J86</f>
        <v>1631.14</v>
      </c>
    </row>
    <row r="87" spans="1:11">
      <c r="A87" s="4">
        <f>'01_Raw_Meta'!A87</f>
        <v>46048</v>
      </c>
      <c r="B87" s="3" t="str">
        <f t="shared" si="1"/>
        <v>Meta</v>
      </c>
      <c r="C87" s="3" t="str">
        <f>'01_Raw_Meta'!B87</f>
        <v>Campaign_B</v>
      </c>
      <c r="D87" s="3" t="str">
        <f>'01_Raw_Meta'!C87</f>
        <v>Retargeting</v>
      </c>
      <c r="E87" s="3" t="str">
        <f>'01_Raw_Meta'!D87</f>
        <v>Creative_1</v>
      </c>
      <c r="F87" s="3">
        <f>'01_Raw_Meta'!E87</f>
        <v>201.99</v>
      </c>
      <c r="G87" s="3">
        <f>'01_Raw_Meta'!F87</f>
        <v>6726</v>
      </c>
      <c r="H87" s="3">
        <f>'01_Raw_Meta'!G87</f>
        <v>397</v>
      </c>
      <c r="I87" s="3">
        <f>'01_Raw_Meta'!H87</f>
        <v>53</v>
      </c>
      <c r="J87" s="3">
        <f>'01_Raw_Meta'!I87</f>
        <v>56</v>
      </c>
      <c r="K87" s="3">
        <f>'01_Raw_Meta'!J87</f>
        <v>205.74</v>
      </c>
    </row>
    <row r="88" spans="1:11">
      <c r="A88" s="4">
        <f>'01_Raw_Meta'!A88</f>
        <v>46049</v>
      </c>
      <c r="B88" s="3" t="str">
        <f t="shared" si="1"/>
        <v>Meta</v>
      </c>
      <c r="C88" s="3" t="str">
        <f>'01_Raw_Meta'!B88</f>
        <v>Campaign_C</v>
      </c>
      <c r="D88" s="3" t="str">
        <f>'01_Raw_Meta'!C88</f>
        <v>Prospecting</v>
      </c>
      <c r="E88" s="3" t="str">
        <f>'01_Raw_Meta'!D88</f>
        <v>Creative_2</v>
      </c>
      <c r="F88" s="3">
        <f>'01_Raw_Meta'!E88</f>
        <v>216.55</v>
      </c>
      <c r="G88" s="3">
        <f>'01_Raw_Meta'!F88</f>
        <v>4373</v>
      </c>
      <c r="H88" s="3">
        <f>'01_Raw_Meta'!G88</f>
        <v>239</v>
      </c>
      <c r="I88" s="3">
        <f>'01_Raw_Meta'!H88</f>
        <v>81</v>
      </c>
      <c r="J88" s="3">
        <f>'01_Raw_Meta'!I88</f>
        <v>17</v>
      </c>
      <c r="K88" s="3">
        <f>'01_Raw_Meta'!J88</f>
        <v>1700.4</v>
      </c>
    </row>
    <row r="89" spans="1:11">
      <c r="A89" s="4">
        <f>'01_Raw_Meta'!A89</f>
        <v>46050</v>
      </c>
      <c r="B89" s="3" t="str">
        <f t="shared" si="1"/>
        <v>Meta</v>
      </c>
      <c r="C89" s="3" t="str">
        <f>'01_Raw_Meta'!B89</f>
        <v>Campaign_A</v>
      </c>
      <c r="D89" s="3" t="str">
        <f>'01_Raw_Meta'!C89</f>
        <v>Prospecting</v>
      </c>
      <c r="E89" s="3" t="str">
        <f>'01_Raw_Meta'!D89</f>
        <v>Creative_3</v>
      </c>
      <c r="F89" s="3">
        <f>'01_Raw_Meta'!E89</f>
        <v>242.82</v>
      </c>
      <c r="G89" s="3">
        <f>'01_Raw_Meta'!F89</f>
        <v>13161</v>
      </c>
      <c r="H89" s="3">
        <f>'01_Raw_Meta'!G89</f>
        <v>554</v>
      </c>
      <c r="I89" s="3">
        <f>'01_Raw_Meta'!H89</f>
        <v>37</v>
      </c>
      <c r="J89" s="3">
        <f>'01_Raw_Meta'!I89</f>
        <v>10</v>
      </c>
      <c r="K89" s="3">
        <f>'01_Raw_Meta'!J89</f>
        <v>198.11</v>
      </c>
    </row>
    <row r="90" spans="1:11">
      <c r="A90" s="4">
        <f>'01_Raw_Meta'!A90</f>
        <v>46051</v>
      </c>
      <c r="B90" s="3" t="str">
        <f t="shared" si="1"/>
        <v>Meta</v>
      </c>
      <c r="C90" s="3" t="str">
        <f>'01_Raw_Meta'!B90</f>
        <v>Campaign_B</v>
      </c>
      <c r="D90" s="3" t="str">
        <f>'01_Raw_Meta'!C90</f>
        <v>Retargeting</v>
      </c>
      <c r="E90" s="3" t="str">
        <f>'01_Raw_Meta'!D90</f>
        <v>Creative_3</v>
      </c>
      <c r="F90" s="3">
        <f>'01_Raw_Meta'!E90</f>
        <v>269.2</v>
      </c>
      <c r="G90" s="3">
        <f>'01_Raw_Meta'!F90</f>
        <v>3082</v>
      </c>
      <c r="H90" s="3">
        <f>'01_Raw_Meta'!G90</f>
        <v>873</v>
      </c>
      <c r="I90" s="3">
        <f>'01_Raw_Meta'!H90</f>
        <v>102</v>
      </c>
      <c r="J90" s="3">
        <f>'01_Raw_Meta'!I90</f>
        <v>17</v>
      </c>
      <c r="K90" s="3">
        <f>'01_Raw_Meta'!J90</f>
        <v>134.66</v>
      </c>
    </row>
    <row r="91" spans="1:11">
      <c r="A91" s="4">
        <f>'01_Raw_Meta'!A91</f>
        <v>46052</v>
      </c>
      <c r="B91" s="3" t="str">
        <f t="shared" si="1"/>
        <v>Meta</v>
      </c>
      <c r="C91" s="3" t="str">
        <f>'01_Raw_Meta'!B91</f>
        <v>Campaign_A</v>
      </c>
      <c r="D91" s="3" t="str">
        <f>'01_Raw_Meta'!C91</f>
        <v>Retargeting</v>
      </c>
      <c r="E91" s="3" t="str">
        <f>'01_Raw_Meta'!D91</f>
        <v>Creative_2</v>
      </c>
      <c r="F91" s="3">
        <f>'01_Raw_Meta'!E91</f>
        <v>114.64</v>
      </c>
      <c r="G91" s="3">
        <f>'01_Raw_Meta'!F91</f>
        <v>17281</v>
      </c>
      <c r="H91" s="3">
        <f>'01_Raw_Meta'!G91</f>
        <v>978</v>
      </c>
      <c r="I91" s="3">
        <f>'01_Raw_Meta'!H91</f>
        <v>109</v>
      </c>
      <c r="J91" s="3">
        <f>'01_Raw_Meta'!I91</f>
        <v>20</v>
      </c>
      <c r="K91" s="3">
        <f>'01_Raw_Meta'!J91</f>
        <v>1424.23</v>
      </c>
    </row>
    <row r="92" spans="1:11">
      <c r="A92" s="4">
        <f>'01_Raw_Meta'!A92</f>
        <v>46023</v>
      </c>
      <c r="B92" s="3" t="str">
        <f t="shared" si="1"/>
        <v>Meta</v>
      </c>
      <c r="C92" s="3" t="str">
        <f>'01_Raw_Meta'!B92</f>
        <v>Campaign_A</v>
      </c>
      <c r="D92" s="3" t="str">
        <f>'01_Raw_Meta'!C92</f>
        <v>Retargeting</v>
      </c>
      <c r="E92" s="3" t="str">
        <f>'01_Raw_Meta'!D92</f>
        <v>Creative_2</v>
      </c>
      <c r="F92" s="3">
        <f>'01_Raw_Meta'!E92</f>
        <v>125.16</v>
      </c>
      <c r="G92" s="3">
        <f>'01_Raw_Meta'!F92</f>
        <v>16305</v>
      </c>
      <c r="H92" s="3">
        <f>'01_Raw_Meta'!G92</f>
        <v>983</v>
      </c>
      <c r="I92" s="3">
        <f>'01_Raw_Meta'!H92</f>
        <v>103</v>
      </c>
      <c r="J92" s="3">
        <f>'01_Raw_Meta'!I92</f>
        <v>24</v>
      </c>
      <c r="K92" s="3">
        <f>'01_Raw_Meta'!J92</f>
        <v>1994.79</v>
      </c>
    </row>
    <row r="93" spans="1:11">
      <c r="A93" s="4">
        <f>'01_Raw_Meta'!A93</f>
        <v>46024</v>
      </c>
      <c r="B93" s="3" t="str">
        <f t="shared" si="1"/>
        <v>Meta</v>
      </c>
      <c r="C93" s="3" t="str">
        <f>'01_Raw_Meta'!B93</f>
        <v>Campaign_A</v>
      </c>
      <c r="D93" s="3" t="str">
        <f>'01_Raw_Meta'!C93</f>
        <v>Retargeting</v>
      </c>
      <c r="E93" s="3" t="str">
        <f>'01_Raw_Meta'!D93</f>
        <v>Creative_3</v>
      </c>
      <c r="F93" s="3">
        <f>'01_Raw_Meta'!E93</f>
        <v>46.31</v>
      </c>
      <c r="G93" s="3">
        <f>'01_Raw_Meta'!F93</f>
        <v>10817</v>
      </c>
      <c r="H93" s="3">
        <f>'01_Raw_Meta'!G93</f>
        <v>1190</v>
      </c>
      <c r="I93" s="3">
        <f>'01_Raw_Meta'!H93</f>
        <v>5</v>
      </c>
      <c r="J93" s="3">
        <f>'01_Raw_Meta'!I93</f>
        <v>5</v>
      </c>
      <c r="K93" s="3">
        <f>'01_Raw_Meta'!J93</f>
        <v>1803.56</v>
      </c>
    </row>
    <row r="94" spans="1:11">
      <c r="A94" s="4">
        <f>'01_Raw_Meta'!A94</f>
        <v>46025</v>
      </c>
      <c r="B94" s="3" t="str">
        <f t="shared" si="1"/>
        <v>Meta</v>
      </c>
      <c r="C94" s="3" t="str">
        <f>'01_Raw_Meta'!B94</f>
        <v>Campaign_A</v>
      </c>
      <c r="D94" s="3" t="str">
        <f>'01_Raw_Meta'!C94</f>
        <v>Retargeting</v>
      </c>
      <c r="E94" s="3" t="str">
        <f>'01_Raw_Meta'!D94</f>
        <v>Creative_3</v>
      </c>
      <c r="F94" s="3">
        <f>'01_Raw_Meta'!E94</f>
        <v>181.92</v>
      </c>
      <c r="G94" s="3">
        <f>'01_Raw_Meta'!F94</f>
        <v>12261</v>
      </c>
      <c r="H94" s="3">
        <f>'01_Raw_Meta'!G94</f>
        <v>183</v>
      </c>
      <c r="I94" s="3">
        <f>'01_Raw_Meta'!H94</f>
        <v>25</v>
      </c>
      <c r="J94" s="3">
        <f>'01_Raw_Meta'!I94</f>
        <v>34</v>
      </c>
      <c r="K94" s="3">
        <f>'01_Raw_Meta'!J94</f>
        <v>1194.4000000000001</v>
      </c>
    </row>
    <row r="95" spans="1:11">
      <c r="A95" s="4">
        <f>'01_Raw_Meta'!A95</f>
        <v>46026</v>
      </c>
      <c r="B95" s="3" t="str">
        <f t="shared" si="1"/>
        <v>Meta</v>
      </c>
      <c r="C95" s="3" t="str">
        <f>'01_Raw_Meta'!B95</f>
        <v>Campaign_C</v>
      </c>
      <c r="D95" s="3" t="str">
        <f>'01_Raw_Meta'!C95</f>
        <v>Retargeting</v>
      </c>
      <c r="E95" s="3" t="str">
        <f>'01_Raw_Meta'!D95</f>
        <v>Creative_2</v>
      </c>
      <c r="F95" s="3">
        <f>'01_Raw_Meta'!E95</f>
        <v>30.06</v>
      </c>
      <c r="G95" s="3">
        <f>'01_Raw_Meta'!F95</f>
        <v>1417</v>
      </c>
      <c r="H95" s="3">
        <f>'01_Raw_Meta'!G95</f>
        <v>107</v>
      </c>
      <c r="I95" s="3">
        <f>'01_Raw_Meta'!H95</f>
        <v>116</v>
      </c>
      <c r="J95" s="3">
        <f>'01_Raw_Meta'!I95</f>
        <v>6</v>
      </c>
      <c r="K95" s="3">
        <f>'01_Raw_Meta'!J95</f>
        <v>1843.05</v>
      </c>
    </row>
    <row r="96" spans="1:11">
      <c r="A96" s="4">
        <f>'01_Raw_Meta'!A96</f>
        <v>46027</v>
      </c>
      <c r="B96" s="3" t="str">
        <f t="shared" si="1"/>
        <v>Meta</v>
      </c>
      <c r="C96" s="3" t="str">
        <f>'01_Raw_Meta'!B96</f>
        <v>Campaign_A</v>
      </c>
      <c r="D96" s="3" t="str">
        <f>'01_Raw_Meta'!C96</f>
        <v>Retargeting</v>
      </c>
      <c r="E96" s="3" t="str">
        <f>'01_Raw_Meta'!D96</f>
        <v>Creative_1</v>
      </c>
      <c r="F96" s="3">
        <f>'01_Raw_Meta'!E96</f>
        <v>150.37</v>
      </c>
      <c r="G96" s="3">
        <f>'01_Raw_Meta'!F96</f>
        <v>9808</v>
      </c>
      <c r="H96" s="3">
        <f>'01_Raw_Meta'!G96</f>
        <v>734</v>
      </c>
      <c r="I96" s="3">
        <f>'01_Raw_Meta'!H96</f>
        <v>59</v>
      </c>
      <c r="J96" s="3">
        <f>'01_Raw_Meta'!I96</f>
        <v>53</v>
      </c>
      <c r="K96" s="3">
        <f>'01_Raw_Meta'!J96</f>
        <v>110.07</v>
      </c>
    </row>
    <row r="97" spans="1:11">
      <c r="A97" s="4">
        <f>'01_Raw_Meta'!A97</f>
        <v>46028</v>
      </c>
      <c r="B97" s="3" t="str">
        <f t="shared" si="1"/>
        <v>Meta</v>
      </c>
      <c r="C97" s="3" t="str">
        <f>'01_Raw_Meta'!B97</f>
        <v>Campaign_A</v>
      </c>
      <c r="D97" s="3" t="str">
        <f>'01_Raw_Meta'!C97</f>
        <v>Retargeting</v>
      </c>
      <c r="E97" s="3" t="str">
        <f>'01_Raw_Meta'!D97</f>
        <v>Creative_1</v>
      </c>
      <c r="F97" s="3">
        <f>'01_Raw_Meta'!E97</f>
        <v>171.94</v>
      </c>
      <c r="G97" s="3">
        <f>'01_Raw_Meta'!F97</f>
        <v>4267</v>
      </c>
      <c r="H97" s="3">
        <f>'01_Raw_Meta'!G97</f>
        <v>721</v>
      </c>
      <c r="I97" s="3">
        <f>'01_Raw_Meta'!H97</f>
        <v>10</v>
      </c>
      <c r="J97" s="3">
        <f>'01_Raw_Meta'!I97</f>
        <v>2</v>
      </c>
      <c r="K97" s="3">
        <f>'01_Raw_Meta'!J97</f>
        <v>1952.63</v>
      </c>
    </row>
    <row r="98" spans="1:11">
      <c r="A98" s="4">
        <f>'01_Raw_Meta'!A98</f>
        <v>46029</v>
      </c>
      <c r="B98" s="3" t="str">
        <f t="shared" si="1"/>
        <v>Meta</v>
      </c>
      <c r="C98" s="3" t="str">
        <f>'01_Raw_Meta'!B98</f>
        <v>Campaign_A</v>
      </c>
      <c r="D98" s="3" t="str">
        <f>'01_Raw_Meta'!C98</f>
        <v>Prospecting</v>
      </c>
      <c r="E98" s="3" t="str">
        <f>'01_Raw_Meta'!D98</f>
        <v>Creative_2</v>
      </c>
      <c r="F98" s="3">
        <f>'01_Raw_Meta'!E98</f>
        <v>100.23</v>
      </c>
      <c r="G98" s="3">
        <f>'01_Raw_Meta'!F98</f>
        <v>18209</v>
      </c>
      <c r="H98" s="3">
        <f>'01_Raw_Meta'!G98</f>
        <v>222</v>
      </c>
      <c r="I98" s="3">
        <f>'01_Raw_Meta'!H98</f>
        <v>96</v>
      </c>
      <c r="J98" s="3">
        <f>'01_Raw_Meta'!I98</f>
        <v>13</v>
      </c>
      <c r="K98" s="3">
        <f>'01_Raw_Meta'!J98</f>
        <v>1032.42</v>
      </c>
    </row>
    <row r="99" spans="1:11">
      <c r="A99" s="4">
        <f>'01_Raw_Meta'!A99</f>
        <v>46030</v>
      </c>
      <c r="B99" s="3" t="str">
        <f t="shared" si="1"/>
        <v>Meta</v>
      </c>
      <c r="C99" s="3" t="str">
        <f>'01_Raw_Meta'!B99</f>
        <v>Campaign_C</v>
      </c>
      <c r="D99" s="3" t="str">
        <f>'01_Raw_Meta'!C99</f>
        <v>Retargeting</v>
      </c>
      <c r="E99" s="3" t="str">
        <f>'01_Raw_Meta'!D99</f>
        <v>Creative_1</v>
      </c>
      <c r="F99" s="3">
        <f>'01_Raw_Meta'!E99</f>
        <v>185.43</v>
      </c>
      <c r="G99" s="3">
        <f>'01_Raw_Meta'!F99</f>
        <v>6745</v>
      </c>
      <c r="H99" s="3">
        <f>'01_Raw_Meta'!G99</f>
        <v>864</v>
      </c>
      <c r="I99" s="3">
        <f>'01_Raw_Meta'!H99</f>
        <v>85</v>
      </c>
      <c r="J99" s="3">
        <f>'01_Raw_Meta'!I99</f>
        <v>43</v>
      </c>
      <c r="K99" s="3">
        <f>'01_Raw_Meta'!J99</f>
        <v>1473.5</v>
      </c>
    </row>
    <row r="100" spans="1:11">
      <c r="A100" s="4">
        <f>'01_Raw_Meta'!A100</f>
        <v>46031</v>
      </c>
      <c r="B100" s="3" t="str">
        <f t="shared" si="1"/>
        <v>Meta</v>
      </c>
      <c r="C100" s="3" t="str">
        <f>'01_Raw_Meta'!B100</f>
        <v>Campaign_A</v>
      </c>
      <c r="D100" s="3" t="str">
        <f>'01_Raw_Meta'!C100</f>
        <v>Retargeting</v>
      </c>
      <c r="E100" s="3" t="str">
        <f>'01_Raw_Meta'!D100</f>
        <v>Creative_2</v>
      </c>
      <c r="F100" s="3">
        <f>'01_Raw_Meta'!E100</f>
        <v>28.54</v>
      </c>
      <c r="G100" s="3">
        <f>'01_Raw_Meta'!F100</f>
        <v>12338</v>
      </c>
      <c r="H100" s="3">
        <f>'01_Raw_Meta'!G100</f>
        <v>129</v>
      </c>
      <c r="I100" s="3">
        <f>'01_Raw_Meta'!H100</f>
        <v>73</v>
      </c>
      <c r="J100" s="3">
        <f>'01_Raw_Meta'!I100</f>
        <v>43</v>
      </c>
      <c r="K100" s="3">
        <f>'01_Raw_Meta'!J100</f>
        <v>1659.64</v>
      </c>
    </row>
    <row r="101" spans="1:11">
      <c r="A101" s="4">
        <f>'01_Raw_Meta'!A101</f>
        <v>46032</v>
      </c>
      <c r="B101" s="3" t="str">
        <f t="shared" si="1"/>
        <v>Meta</v>
      </c>
      <c r="C101" s="3" t="str">
        <f>'01_Raw_Meta'!B101</f>
        <v>Campaign_A</v>
      </c>
      <c r="D101" s="3" t="str">
        <f>'01_Raw_Meta'!C101</f>
        <v>Prospecting</v>
      </c>
      <c r="E101" s="3" t="str">
        <f>'01_Raw_Meta'!D101</f>
        <v>Creative_1</v>
      </c>
      <c r="F101" s="3">
        <f>'01_Raw_Meta'!E101</f>
        <v>30.46</v>
      </c>
      <c r="G101" s="3">
        <f>'01_Raw_Meta'!F101</f>
        <v>1412</v>
      </c>
      <c r="H101" s="3">
        <f>'01_Raw_Meta'!G101</f>
        <v>935</v>
      </c>
      <c r="I101" s="3">
        <f>'01_Raw_Meta'!H101</f>
        <v>99</v>
      </c>
      <c r="J101" s="3">
        <f>'01_Raw_Meta'!I101</f>
        <v>48</v>
      </c>
      <c r="K101" s="3">
        <f>'01_Raw_Meta'!J101</f>
        <v>1465.07</v>
      </c>
    </row>
    <row r="102" spans="1:11">
      <c r="A102" s="4"/>
    </row>
    <row r="103" spans="1:11">
      <c r="A103" s="4"/>
    </row>
    <row r="104" spans="1:11">
      <c r="A104" s="4"/>
    </row>
    <row r="105" spans="1:11">
      <c r="A105" s="4"/>
    </row>
    <row r="106" spans="1:11">
      <c r="A106" s="4"/>
    </row>
    <row r="107" spans="1:11">
      <c r="A107" s="4"/>
    </row>
    <row r="108" spans="1:11">
      <c r="A108" s="4"/>
    </row>
    <row r="109" spans="1:11">
      <c r="A109" s="4"/>
    </row>
    <row r="110" spans="1:11">
      <c r="A110" s="4"/>
    </row>
    <row r="111" spans="1:11">
      <c r="A111" s="4"/>
    </row>
    <row r="112" spans="1:1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1495-1E74-4FB3-9FFE-3310A32BF1D2}">
  <dimension ref="A1:K101"/>
  <sheetViews>
    <sheetView tabSelected="1" workbookViewId="0">
      <selection activeCell="L7" sqref="L7"/>
    </sheetView>
  </sheetViews>
  <sheetFormatPr defaultRowHeight="14.4"/>
  <sheetData>
    <row r="1" spans="1:11">
      <c r="A1" s="7" t="s">
        <v>9</v>
      </c>
      <c r="B1" s="7" t="s">
        <v>31</v>
      </c>
      <c r="C1" s="7" t="s">
        <v>10</v>
      </c>
      <c r="D1" s="7" t="s">
        <v>156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158</v>
      </c>
      <c r="J1" s="7" t="s">
        <v>17</v>
      </c>
      <c r="K1" s="7" t="s">
        <v>33</v>
      </c>
    </row>
    <row r="2" spans="1:11">
      <c r="A2" s="4">
        <f>'02_Raw_Google'!A2</f>
        <v>46023</v>
      </c>
      <c r="B2" s="3" t="str">
        <f>"Google"</f>
        <v>Google</v>
      </c>
      <c r="C2" s="3" t="str">
        <f>'02_Raw_Google'!B2</f>
        <v>PMax</v>
      </c>
      <c r="D2" s="3" t="str">
        <f>'02_Raw_Google'!C2</f>
        <v>Group_2</v>
      </c>
      <c r="E2" s="3" t="str">
        <f>'02_Raw_Google'!D2</f>
        <v>Headline_A</v>
      </c>
      <c r="F2" s="3">
        <f>'02_Raw_Google'!E2</f>
        <v>74.66</v>
      </c>
      <c r="G2" s="3">
        <f>'02_Raw_Google'!F2</f>
        <v>6922</v>
      </c>
      <c r="H2" s="3">
        <f>'02_Raw_Google'!G2</f>
        <v>649</v>
      </c>
      <c r="I2" s="3">
        <f>0</f>
        <v>0</v>
      </c>
      <c r="J2" s="3">
        <f>'02_Raw_Google'!H2</f>
        <v>26</v>
      </c>
      <c r="K2" s="3">
        <f>'02_Raw_Google'!I2</f>
        <v>106.17</v>
      </c>
    </row>
    <row r="3" spans="1:11">
      <c r="A3" s="4">
        <f>'02_Raw_Google'!A3</f>
        <v>46024</v>
      </c>
      <c r="B3" s="3" t="str">
        <f t="shared" ref="B3:B66" si="0">"Google"</f>
        <v>Google</v>
      </c>
      <c r="C3" s="3" t="str">
        <f>'02_Raw_Google'!B3</f>
        <v>Search_Generic</v>
      </c>
      <c r="D3" s="3" t="str">
        <f>'02_Raw_Google'!C3</f>
        <v>Group_2</v>
      </c>
      <c r="E3" s="3" t="str">
        <f>'02_Raw_Google'!D3</f>
        <v>Headline_C</v>
      </c>
      <c r="F3" s="3">
        <f>'02_Raw_Google'!E3</f>
        <v>61.09</v>
      </c>
      <c r="G3" s="3">
        <f>'02_Raw_Google'!F3</f>
        <v>1281</v>
      </c>
      <c r="H3" s="3">
        <f>'02_Raw_Google'!G3</f>
        <v>217</v>
      </c>
      <c r="I3" s="3">
        <f>0</f>
        <v>0</v>
      </c>
      <c r="J3" s="3">
        <f>'02_Raw_Google'!H3</f>
        <v>3</v>
      </c>
      <c r="K3" s="3">
        <f>'02_Raw_Google'!I3</f>
        <v>693.78</v>
      </c>
    </row>
    <row r="4" spans="1:11">
      <c r="A4" s="4">
        <f>'02_Raw_Google'!A4</f>
        <v>46025</v>
      </c>
      <c r="B4" s="3" t="str">
        <f t="shared" si="0"/>
        <v>Google</v>
      </c>
      <c r="C4" s="3" t="str">
        <f>'02_Raw_Google'!B4</f>
        <v>PMax</v>
      </c>
      <c r="D4" s="3" t="str">
        <f>'02_Raw_Google'!C4</f>
        <v>Group_3</v>
      </c>
      <c r="E4" s="3" t="str">
        <f>'02_Raw_Google'!D4</f>
        <v>Headline_A</v>
      </c>
      <c r="F4" s="3">
        <f>'02_Raw_Google'!E4</f>
        <v>133.79</v>
      </c>
      <c r="G4" s="3">
        <f>'02_Raw_Google'!F4</f>
        <v>953</v>
      </c>
      <c r="H4" s="3">
        <f>'02_Raw_Google'!G4</f>
        <v>842</v>
      </c>
      <c r="I4" s="3">
        <f>0</f>
        <v>0</v>
      </c>
      <c r="J4" s="3">
        <f>'02_Raw_Google'!H4</f>
        <v>6</v>
      </c>
      <c r="K4" s="3">
        <f>'02_Raw_Google'!I4</f>
        <v>1272.97</v>
      </c>
    </row>
    <row r="5" spans="1:11">
      <c r="A5" s="4">
        <f>'02_Raw_Google'!A5</f>
        <v>46026</v>
      </c>
      <c r="B5" s="3" t="str">
        <f t="shared" si="0"/>
        <v>Google</v>
      </c>
      <c r="C5" s="3" t="str">
        <f>'02_Raw_Google'!B5</f>
        <v>Search_Brand</v>
      </c>
      <c r="D5" s="3" t="str">
        <f>'02_Raw_Google'!C5</f>
        <v>Group_3</v>
      </c>
      <c r="E5" s="3" t="str">
        <f>'02_Raw_Google'!D5</f>
        <v>Headline_A</v>
      </c>
      <c r="F5" s="3">
        <f>'02_Raw_Google'!E5</f>
        <v>154.84</v>
      </c>
      <c r="G5" s="3">
        <f>'02_Raw_Google'!F5</f>
        <v>8417</v>
      </c>
      <c r="H5" s="3">
        <f>'02_Raw_Google'!G5</f>
        <v>127</v>
      </c>
      <c r="I5" s="3">
        <f>0</f>
        <v>0</v>
      </c>
      <c r="J5" s="3">
        <f>'02_Raw_Google'!H5</f>
        <v>5</v>
      </c>
      <c r="K5" s="3">
        <f>'02_Raw_Google'!I5</f>
        <v>636.85</v>
      </c>
    </row>
    <row r="6" spans="1:11">
      <c r="A6" s="4">
        <f>'02_Raw_Google'!A6</f>
        <v>46027</v>
      </c>
      <c r="B6" s="3" t="str">
        <f t="shared" si="0"/>
        <v>Google</v>
      </c>
      <c r="C6" s="3" t="str">
        <f>'02_Raw_Google'!B6</f>
        <v>Search_Brand</v>
      </c>
      <c r="D6" s="3" t="str">
        <f>'02_Raw_Google'!C6</f>
        <v>Group_3</v>
      </c>
      <c r="E6" s="3" t="str">
        <f>'02_Raw_Google'!D6</f>
        <v>Headline_A</v>
      </c>
      <c r="F6" s="3">
        <f>'02_Raw_Google'!E6</f>
        <v>94.73</v>
      </c>
      <c r="G6" s="3">
        <f>'02_Raw_Google'!F6</f>
        <v>2324</v>
      </c>
      <c r="H6" s="3">
        <f>'02_Raw_Google'!G6</f>
        <v>160</v>
      </c>
      <c r="I6" s="3">
        <f>0</f>
        <v>0</v>
      </c>
      <c r="J6" s="3">
        <f>'02_Raw_Google'!H6</f>
        <v>5</v>
      </c>
      <c r="K6" s="3">
        <f>'02_Raw_Google'!I6</f>
        <v>334.89</v>
      </c>
    </row>
    <row r="7" spans="1:11">
      <c r="A7" s="4">
        <f>'02_Raw_Google'!A7</f>
        <v>46028</v>
      </c>
      <c r="B7" s="3" t="str">
        <f t="shared" si="0"/>
        <v>Google</v>
      </c>
      <c r="C7" s="3" t="str">
        <f>'02_Raw_Google'!B7</f>
        <v>Search_Generic</v>
      </c>
      <c r="D7" s="3" t="str">
        <f>'02_Raw_Google'!C7</f>
        <v>Group_2</v>
      </c>
      <c r="E7" s="3" t="str">
        <f>'02_Raw_Google'!D7</f>
        <v>Headline_B</v>
      </c>
      <c r="F7" s="3">
        <f>'02_Raw_Google'!E7</f>
        <v>148.82</v>
      </c>
      <c r="G7" s="3">
        <f>'02_Raw_Google'!F7</f>
        <v>2920</v>
      </c>
      <c r="H7" s="3">
        <f>'02_Raw_Google'!G7</f>
        <v>834</v>
      </c>
      <c r="I7" s="3">
        <f>0</f>
        <v>0</v>
      </c>
      <c r="J7" s="3">
        <f>'02_Raw_Google'!H7</f>
        <v>23</v>
      </c>
      <c r="K7" s="3">
        <f>'02_Raw_Google'!I7</f>
        <v>1150.25</v>
      </c>
    </row>
    <row r="8" spans="1:11">
      <c r="A8" s="4">
        <f>'02_Raw_Google'!A8</f>
        <v>46029</v>
      </c>
      <c r="B8" s="3" t="str">
        <f t="shared" si="0"/>
        <v>Google</v>
      </c>
      <c r="C8" s="3" t="str">
        <f>'02_Raw_Google'!B8</f>
        <v>Search_Generic</v>
      </c>
      <c r="D8" s="3" t="str">
        <f>'02_Raw_Google'!C8</f>
        <v>Group_3</v>
      </c>
      <c r="E8" s="3" t="str">
        <f>'02_Raw_Google'!D8</f>
        <v>Headline_A</v>
      </c>
      <c r="F8" s="3">
        <f>'02_Raw_Google'!E8</f>
        <v>223.55</v>
      </c>
      <c r="G8" s="3">
        <f>'02_Raw_Google'!F8</f>
        <v>3143</v>
      </c>
      <c r="H8" s="3">
        <f>'02_Raw_Google'!G8</f>
        <v>200</v>
      </c>
      <c r="I8" s="3">
        <f>0</f>
        <v>0</v>
      </c>
      <c r="J8" s="3">
        <f>'02_Raw_Google'!H8</f>
        <v>9</v>
      </c>
      <c r="K8" s="3">
        <f>'02_Raw_Google'!I8</f>
        <v>1200.1099999999999</v>
      </c>
    </row>
    <row r="9" spans="1:11">
      <c r="A9" s="4">
        <f>'02_Raw_Google'!A9</f>
        <v>46030</v>
      </c>
      <c r="B9" s="3" t="str">
        <f t="shared" si="0"/>
        <v>Google</v>
      </c>
      <c r="C9" s="3" t="str">
        <f>'02_Raw_Google'!B9</f>
        <v>Search_Generic</v>
      </c>
      <c r="D9" s="3" t="str">
        <f>'02_Raw_Google'!C9</f>
        <v>Group_3</v>
      </c>
      <c r="E9" s="3" t="str">
        <f>'02_Raw_Google'!D9</f>
        <v>Headline_A</v>
      </c>
      <c r="F9" s="3">
        <f>'02_Raw_Google'!E9</f>
        <v>145.83000000000001</v>
      </c>
      <c r="G9" s="3">
        <f>'02_Raw_Google'!F9</f>
        <v>5936</v>
      </c>
      <c r="H9" s="3">
        <f>'02_Raw_Google'!G9</f>
        <v>212</v>
      </c>
      <c r="I9" s="3">
        <f>0</f>
        <v>0</v>
      </c>
      <c r="J9" s="3">
        <f>'02_Raw_Google'!H9</f>
        <v>35</v>
      </c>
      <c r="K9" s="3">
        <f>'02_Raw_Google'!I9</f>
        <v>326.73</v>
      </c>
    </row>
    <row r="10" spans="1:11">
      <c r="A10" s="4">
        <f>'02_Raw_Google'!A10</f>
        <v>46031</v>
      </c>
      <c r="B10" s="3" t="str">
        <f t="shared" si="0"/>
        <v>Google</v>
      </c>
      <c r="C10" s="3" t="str">
        <f>'02_Raw_Google'!B10</f>
        <v>PMax</v>
      </c>
      <c r="D10" s="3" t="str">
        <f>'02_Raw_Google'!C10</f>
        <v>Group_1</v>
      </c>
      <c r="E10" s="3" t="str">
        <f>'02_Raw_Google'!D10</f>
        <v>Headline_B</v>
      </c>
      <c r="F10" s="3">
        <f>'02_Raw_Google'!E10</f>
        <v>184.39</v>
      </c>
      <c r="G10" s="3">
        <f>'02_Raw_Google'!F10</f>
        <v>6560</v>
      </c>
      <c r="H10" s="3">
        <f>'02_Raw_Google'!G10</f>
        <v>393</v>
      </c>
      <c r="I10" s="3">
        <f>0</f>
        <v>0</v>
      </c>
      <c r="J10" s="3">
        <f>'02_Raw_Google'!H10</f>
        <v>20</v>
      </c>
      <c r="K10" s="3">
        <f>'02_Raw_Google'!I10</f>
        <v>1174.6099999999999</v>
      </c>
    </row>
    <row r="11" spans="1:11">
      <c r="A11" s="4">
        <f>'02_Raw_Google'!A11</f>
        <v>46032</v>
      </c>
      <c r="B11" s="3" t="str">
        <f t="shared" si="0"/>
        <v>Google</v>
      </c>
      <c r="C11" s="3" t="str">
        <f>'02_Raw_Google'!B11</f>
        <v>Search_Brand</v>
      </c>
      <c r="D11" s="3" t="str">
        <f>'02_Raw_Google'!C11</f>
        <v>Group_1</v>
      </c>
      <c r="E11" s="3" t="str">
        <f>'02_Raw_Google'!D11</f>
        <v>Headline_A</v>
      </c>
      <c r="F11" s="3">
        <f>'02_Raw_Google'!E11</f>
        <v>204.25</v>
      </c>
      <c r="G11" s="3">
        <f>'02_Raw_Google'!F11</f>
        <v>2040</v>
      </c>
      <c r="H11" s="3">
        <f>'02_Raw_Google'!G11</f>
        <v>68</v>
      </c>
      <c r="I11" s="3">
        <f>0</f>
        <v>0</v>
      </c>
      <c r="J11" s="3">
        <f>'02_Raw_Google'!H11</f>
        <v>35</v>
      </c>
      <c r="K11" s="3">
        <f>'02_Raw_Google'!I11</f>
        <v>1425.16</v>
      </c>
    </row>
    <row r="12" spans="1:11">
      <c r="A12" s="4">
        <f>'02_Raw_Google'!A12</f>
        <v>46033</v>
      </c>
      <c r="B12" s="3" t="str">
        <f t="shared" si="0"/>
        <v>Google</v>
      </c>
      <c r="C12" s="3" t="str">
        <f>'02_Raw_Google'!B12</f>
        <v>Search_Brand</v>
      </c>
      <c r="D12" s="3" t="str">
        <f>'02_Raw_Google'!C12</f>
        <v>Group_2</v>
      </c>
      <c r="E12" s="3" t="str">
        <f>'02_Raw_Google'!D12</f>
        <v>Headline_C</v>
      </c>
      <c r="F12" s="3">
        <f>'02_Raw_Google'!E12</f>
        <v>247.35</v>
      </c>
      <c r="G12" s="3">
        <f>'02_Raw_Google'!F12</f>
        <v>860</v>
      </c>
      <c r="H12" s="3">
        <f>'02_Raw_Google'!G12</f>
        <v>556</v>
      </c>
      <c r="I12" s="3">
        <f>0</f>
        <v>0</v>
      </c>
      <c r="J12" s="3">
        <f>'02_Raw_Google'!H12</f>
        <v>18</v>
      </c>
      <c r="K12" s="3">
        <f>'02_Raw_Google'!I12</f>
        <v>316.26</v>
      </c>
    </row>
    <row r="13" spans="1:11">
      <c r="A13" s="4">
        <f>'02_Raw_Google'!A13</f>
        <v>46034</v>
      </c>
      <c r="B13" s="3" t="str">
        <f t="shared" si="0"/>
        <v>Google</v>
      </c>
      <c r="C13" s="3" t="str">
        <f>'02_Raw_Google'!B13</f>
        <v>PMax</v>
      </c>
      <c r="D13" s="3" t="str">
        <f>'02_Raw_Google'!C13</f>
        <v>Group_3</v>
      </c>
      <c r="E13" s="3" t="str">
        <f>'02_Raw_Google'!D13</f>
        <v>Headline_C</v>
      </c>
      <c r="F13" s="3">
        <f>'02_Raw_Google'!E13</f>
        <v>156.75</v>
      </c>
      <c r="G13" s="3">
        <f>'02_Raw_Google'!F13</f>
        <v>9930</v>
      </c>
      <c r="H13" s="3">
        <f>'02_Raw_Google'!G13</f>
        <v>526</v>
      </c>
      <c r="I13" s="3">
        <f>0</f>
        <v>0</v>
      </c>
      <c r="J13" s="3">
        <f>'02_Raw_Google'!H13</f>
        <v>17</v>
      </c>
      <c r="K13" s="3">
        <f>'02_Raw_Google'!I13</f>
        <v>1174.8</v>
      </c>
    </row>
    <row r="14" spans="1:11">
      <c r="A14" s="4">
        <f>'02_Raw_Google'!A14</f>
        <v>46035</v>
      </c>
      <c r="B14" s="3" t="str">
        <f t="shared" si="0"/>
        <v>Google</v>
      </c>
      <c r="C14" s="3" t="str">
        <f>'02_Raw_Google'!B14</f>
        <v>Search_Brand</v>
      </c>
      <c r="D14" s="3" t="str">
        <f>'02_Raw_Google'!C14</f>
        <v>Group_3</v>
      </c>
      <c r="E14" s="3" t="str">
        <f>'02_Raw_Google'!D14</f>
        <v>Headline_A</v>
      </c>
      <c r="F14" s="3">
        <f>'02_Raw_Google'!E14</f>
        <v>204.61</v>
      </c>
      <c r="G14" s="3">
        <f>'02_Raw_Google'!F14</f>
        <v>2439</v>
      </c>
      <c r="H14" s="3">
        <f>'02_Raw_Google'!G14</f>
        <v>545</v>
      </c>
      <c r="I14" s="3">
        <f>0</f>
        <v>0</v>
      </c>
      <c r="J14" s="3">
        <f>'02_Raw_Google'!H14</f>
        <v>24</v>
      </c>
      <c r="K14" s="3">
        <f>'02_Raw_Google'!I14</f>
        <v>1086.17</v>
      </c>
    </row>
    <row r="15" spans="1:11">
      <c r="A15" s="4">
        <f>'02_Raw_Google'!A15</f>
        <v>46036</v>
      </c>
      <c r="B15" s="3" t="str">
        <f t="shared" si="0"/>
        <v>Google</v>
      </c>
      <c r="C15" s="3" t="str">
        <f>'02_Raw_Google'!B15</f>
        <v>Search_Generic</v>
      </c>
      <c r="D15" s="3" t="str">
        <f>'02_Raw_Google'!C15</f>
        <v>Group_1</v>
      </c>
      <c r="E15" s="3" t="str">
        <f>'02_Raw_Google'!D15</f>
        <v>Headline_B</v>
      </c>
      <c r="F15" s="3">
        <f>'02_Raw_Google'!E15</f>
        <v>241.22</v>
      </c>
      <c r="G15" s="3">
        <f>'02_Raw_Google'!F15</f>
        <v>6985</v>
      </c>
      <c r="H15" s="3">
        <f>'02_Raw_Google'!G15</f>
        <v>378</v>
      </c>
      <c r="I15" s="3">
        <f>0</f>
        <v>0</v>
      </c>
      <c r="J15" s="3">
        <f>'02_Raw_Google'!H15</f>
        <v>3</v>
      </c>
      <c r="K15" s="3">
        <f>'02_Raw_Google'!I15</f>
        <v>752.47</v>
      </c>
    </row>
    <row r="16" spans="1:11">
      <c r="A16" s="4">
        <f>'02_Raw_Google'!A16</f>
        <v>46037</v>
      </c>
      <c r="B16" s="3" t="str">
        <f t="shared" si="0"/>
        <v>Google</v>
      </c>
      <c r="C16" s="3" t="str">
        <f>'02_Raw_Google'!B16</f>
        <v>Search_Generic</v>
      </c>
      <c r="D16" s="3" t="str">
        <f>'02_Raw_Google'!C16</f>
        <v>Group_2</v>
      </c>
      <c r="E16" s="3" t="str">
        <f>'02_Raw_Google'!D16</f>
        <v>Headline_C</v>
      </c>
      <c r="F16" s="3">
        <f>'02_Raw_Google'!E16</f>
        <v>236.94</v>
      </c>
      <c r="G16" s="3">
        <f>'02_Raw_Google'!F16</f>
        <v>13112</v>
      </c>
      <c r="H16" s="3">
        <f>'02_Raw_Google'!G16</f>
        <v>426</v>
      </c>
      <c r="I16" s="3">
        <f>0</f>
        <v>0</v>
      </c>
      <c r="J16" s="3">
        <f>'02_Raw_Google'!H16</f>
        <v>32</v>
      </c>
      <c r="K16" s="3">
        <f>'02_Raw_Google'!I16</f>
        <v>162.25</v>
      </c>
    </row>
    <row r="17" spans="1:11">
      <c r="A17" s="4">
        <f>'02_Raw_Google'!A17</f>
        <v>46038</v>
      </c>
      <c r="B17" s="3" t="str">
        <f t="shared" si="0"/>
        <v>Google</v>
      </c>
      <c r="C17" s="3" t="str">
        <f>'02_Raw_Google'!B17</f>
        <v>Search_Generic</v>
      </c>
      <c r="D17" s="3" t="str">
        <f>'02_Raw_Google'!C17</f>
        <v>Group_1</v>
      </c>
      <c r="E17" s="3" t="str">
        <f>'02_Raw_Google'!D17</f>
        <v>Headline_B</v>
      </c>
      <c r="F17" s="3">
        <f>'02_Raw_Google'!E17</f>
        <v>48.15</v>
      </c>
      <c r="G17" s="3">
        <f>'02_Raw_Google'!F17</f>
        <v>14150</v>
      </c>
      <c r="H17" s="3">
        <f>'02_Raw_Google'!G17</f>
        <v>751</v>
      </c>
      <c r="I17" s="3">
        <f>0</f>
        <v>0</v>
      </c>
      <c r="J17" s="3">
        <f>'02_Raw_Google'!H17</f>
        <v>35</v>
      </c>
      <c r="K17" s="3">
        <f>'02_Raw_Google'!I17</f>
        <v>186.07</v>
      </c>
    </row>
    <row r="18" spans="1:11">
      <c r="A18" s="4">
        <f>'02_Raw_Google'!A18</f>
        <v>46039</v>
      </c>
      <c r="B18" s="3" t="str">
        <f t="shared" si="0"/>
        <v>Google</v>
      </c>
      <c r="C18" s="3" t="str">
        <f>'02_Raw_Google'!B18</f>
        <v>Search_Brand</v>
      </c>
      <c r="D18" s="3" t="str">
        <f>'02_Raw_Google'!C18</f>
        <v>Group_1</v>
      </c>
      <c r="E18" s="3" t="str">
        <f>'02_Raw_Google'!D18</f>
        <v>Headline_B</v>
      </c>
      <c r="F18" s="3">
        <f>'02_Raw_Google'!E18</f>
        <v>110.5</v>
      </c>
      <c r="G18" s="3">
        <f>'02_Raw_Google'!F18</f>
        <v>8770</v>
      </c>
      <c r="H18" s="3">
        <f>'02_Raw_Google'!G18</f>
        <v>190</v>
      </c>
      <c r="I18" s="3">
        <f>0</f>
        <v>0</v>
      </c>
      <c r="J18" s="3">
        <f>'02_Raw_Google'!H18</f>
        <v>38</v>
      </c>
      <c r="K18" s="3">
        <f>'02_Raw_Google'!I18</f>
        <v>1290.43</v>
      </c>
    </row>
    <row r="19" spans="1:11">
      <c r="A19" s="4">
        <f>'02_Raw_Google'!A19</f>
        <v>46040</v>
      </c>
      <c r="B19" s="3" t="str">
        <f t="shared" si="0"/>
        <v>Google</v>
      </c>
      <c r="C19" s="3" t="str">
        <f>'02_Raw_Google'!B19</f>
        <v>Search_Generic</v>
      </c>
      <c r="D19" s="3" t="str">
        <f>'02_Raw_Google'!C19</f>
        <v>Group_1</v>
      </c>
      <c r="E19" s="3" t="str">
        <f>'02_Raw_Google'!D19</f>
        <v>Headline_C</v>
      </c>
      <c r="F19" s="3">
        <f>'02_Raw_Google'!E19</f>
        <v>91.14</v>
      </c>
      <c r="G19" s="3">
        <f>'02_Raw_Google'!F19</f>
        <v>13218</v>
      </c>
      <c r="H19" s="3">
        <f>'02_Raw_Google'!G19</f>
        <v>45</v>
      </c>
      <c r="I19" s="3">
        <f>0</f>
        <v>0</v>
      </c>
      <c r="J19" s="3">
        <f>'02_Raw_Google'!H19</f>
        <v>13</v>
      </c>
      <c r="K19" s="3">
        <f>'02_Raw_Google'!I19</f>
        <v>1486.01</v>
      </c>
    </row>
    <row r="20" spans="1:11">
      <c r="A20" s="4">
        <f>'02_Raw_Google'!A20</f>
        <v>46041</v>
      </c>
      <c r="B20" s="3" t="str">
        <f t="shared" si="0"/>
        <v>Google</v>
      </c>
      <c r="C20" s="3" t="str">
        <f>'02_Raw_Google'!B20</f>
        <v>PMax</v>
      </c>
      <c r="D20" s="3" t="str">
        <f>'02_Raw_Google'!C20</f>
        <v>Group_1</v>
      </c>
      <c r="E20" s="3" t="str">
        <f>'02_Raw_Google'!D20</f>
        <v>Headline_B</v>
      </c>
      <c r="F20" s="3">
        <f>'02_Raw_Google'!E20</f>
        <v>35.43</v>
      </c>
      <c r="G20" s="3">
        <f>'02_Raw_Google'!F20</f>
        <v>12561</v>
      </c>
      <c r="H20" s="3">
        <f>'02_Raw_Google'!G20</f>
        <v>522</v>
      </c>
      <c r="I20" s="3">
        <f>0</f>
        <v>0</v>
      </c>
      <c r="J20" s="3">
        <f>'02_Raw_Google'!H20</f>
        <v>25</v>
      </c>
      <c r="K20" s="3">
        <f>'02_Raw_Google'!I20</f>
        <v>1039.99</v>
      </c>
    </row>
    <row r="21" spans="1:11">
      <c r="A21" s="4">
        <f>'02_Raw_Google'!A21</f>
        <v>46042</v>
      </c>
      <c r="B21" s="3" t="str">
        <f t="shared" si="0"/>
        <v>Google</v>
      </c>
      <c r="C21" s="3" t="str">
        <f>'02_Raw_Google'!B21</f>
        <v>PMax</v>
      </c>
      <c r="D21" s="3" t="str">
        <f>'02_Raw_Google'!C21</f>
        <v>Group_3</v>
      </c>
      <c r="E21" s="3" t="str">
        <f>'02_Raw_Google'!D21</f>
        <v>Headline_C</v>
      </c>
      <c r="F21" s="3">
        <f>'02_Raw_Google'!E21</f>
        <v>163.81</v>
      </c>
      <c r="G21" s="3">
        <f>'02_Raw_Google'!F21</f>
        <v>2052</v>
      </c>
      <c r="H21" s="3">
        <f>'02_Raw_Google'!G21</f>
        <v>455</v>
      </c>
      <c r="I21" s="3">
        <f>0</f>
        <v>0</v>
      </c>
      <c r="J21" s="3">
        <f>'02_Raw_Google'!H21</f>
        <v>9</v>
      </c>
      <c r="K21" s="3">
        <f>'02_Raw_Google'!I21</f>
        <v>713.26</v>
      </c>
    </row>
    <row r="22" spans="1:11">
      <c r="A22" s="4">
        <f>'02_Raw_Google'!A22</f>
        <v>46043</v>
      </c>
      <c r="B22" s="3" t="str">
        <f t="shared" si="0"/>
        <v>Google</v>
      </c>
      <c r="C22" s="3" t="str">
        <f>'02_Raw_Google'!B22</f>
        <v>Search_Brand</v>
      </c>
      <c r="D22" s="3" t="str">
        <f>'02_Raw_Google'!C22</f>
        <v>Group_3</v>
      </c>
      <c r="E22" s="3" t="str">
        <f>'02_Raw_Google'!D22</f>
        <v>Headline_B</v>
      </c>
      <c r="F22" s="3">
        <f>'02_Raw_Google'!E22</f>
        <v>187.94</v>
      </c>
      <c r="G22" s="3">
        <f>'02_Raw_Google'!F22</f>
        <v>5003</v>
      </c>
      <c r="H22" s="3">
        <f>'02_Raw_Google'!G22</f>
        <v>137</v>
      </c>
      <c r="I22" s="3">
        <f>0</f>
        <v>0</v>
      </c>
      <c r="J22" s="3">
        <f>'02_Raw_Google'!H22</f>
        <v>4</v>
      </c>
      <c r="K22" s="3">
        <f>'02_Raw_Google'!I22</f>
        <v>999.55</v>
      </c>
    </row>
    <row r="23" spans="1:11">
      <c r="A23" s="4">
        <f>'02_Raw_Google'!A23</f>
        <v>46044</v>
      </c>
      <c r="B23" s="3" t="str">
        <f t="shared" si="0"/>
        <v>Google</v>
      </c>
      <c r="C23" s="3" t="str">
        <f>'02_Raw_Google'!B23</f>
        <v>PMax</v>
      </c>
      <c r="D23" s="3" t="str">
        <f>'02_Raw_Google'!C23</f>
        <v>Group_1</v>
      </c>
      <c r="E23" s="3" t="str">
        <f>'02_Raw_Google'!D23</f>
        <v>Headline_C</v>
      </c>
      <c r="F23" s="3">
        <f>'02_Raw_Google'!E23</f>
        <v>214.31</v>
      </c>
      <c r="G23" s="3">
        <f>'02_Raw_Google'!F23</f>
        <v>9163</v>
      </c>
      <c r="H23" s="3">
        <f>'02_Raw_Google'!G23</f>
        <v>479</v>
      </c>
      <c r="I23" s="3">
        <f>0</f>
        <v>0</v>
      </c>
      <c r="J23" s="3">
        <f>'02_Raw_Google'!H23</f>
        <v>14</v>
      </c>
      <c r="K23" s="3">
        <f>'02_Raw_Google'!I23</f>
        <v>924.04</v>
      </c>
    </row>
    <row r="24" spans="1:11">
      <c r="A24" s="4">
        <f>'02_Raw_Google'!A24</f>
        <v>46045</v>
      </c>
      <c r="B24" s="3" t="str">
        <f t="shared" si="0"/>
        <v>Google</v>
      </c>
      <c r="C24" s="3" t="str">
        <f>'02_Raw_Google'!B24</f>
        <v>PMax</v>
      </c>
      <c r="D24" s="3" t="str">
        <f>'02_Raw_Google'!C24</f>
        <v>Group_2</v>
      </c>
      <c r="E24" s="3" t="str">
        <f>'02_Raw_Google'!D24</f>
        <v>Headline_A</v>
      </c>
      <c r="F24" s="3">
        <f>'02_Raw_Google'!E24</f>
        <v>43.85</v>
      </c>
      <c r="G24" s="3">
        <f>'02_Raw_Google'!F24</f>
        <v>10450</v>
      </c>
      <c r="H24" s="3">
        <f>'02_Raw_Google'!G24</f>
        <v>340</v>
      </c>
      <c r="I24" s="3">
        <f>0</f>
        <v>0</v>
      </c>
      <c r="J24" s="3">
        <f>'02_Raw_Google'!H24</f>
        <v>37</v>
      </c>
      <c r="K24" s="3">
        <f>'02_Raw_Google'!I24</f>
        <v>624.73</v>
      </c>
    </row>
    <row r="25" spans="1:11">
      <c r="A25" s="4">
        <f>'02_Raw_Google'!A25</f>
        <v>46046</v>
      </c>
      <c r="B25" s="3" t="str">
        <f t="shared" si="0"/>
        <v>Google</v>
      </c>
      <c r="C25" s="3" t="str">
        <f>'02_Raw_Google'!B25</f>
        <v>Search_Brand</v>
      </c>
      <c r="D25" s="3" t="str">
        <f>'02_Raw_Google'!C25</f>
        <v>Group_2</v>
      </c>
      <c r="E25" s="3" t="str">
        <f>'02_Raw_Google'!D25</f>
        <v>Headline_C</v>
      </c>
      <c r="F25" s="3">
        <f>'02_Raw_Google'!E25</f>
        <v>220.96</v>
      </c>
      <c r="G25" s="3">
        <f>'02_Raw_Google'!F25</f>
        <v>4349</v>
      </c>
      <c r="H25" s="3">
        <f>'02_Raw_Google'!G25</f>
        <v>768</v>
      </c>
      <c r="I25" s="3">
        <f>0</f>
        <v>0</v>
      </c>
      <c r="J25" s="3">
        <f>'02_Raw_Google'!H25</f>
        <v>34</v>
      </c>
      <c r="K25" s="3">
        <f>'02_Raw_Google'!I25</f>
        <v>173.19</v>
      </c>
    </row>
    <row r="26" spans="1:11">
      <c r="A26" s="4">
        <f>'02_Raw_Google'!A26</f>
        <v>46047</v>
      </c>
      <c r="B26" s="3" t="str">
        <f t="shared" si="0"/>
        <v>Google</v>
      </c>
      <c r="C26" s="3" t="str">
        <f>'02_Raw_Google'!B26</f>
        <v>Search_Generic</v>
      </c>
      <c r="D26" s="3" t="str">
        <f>'02_Raw_Google'!C26</f>
        <v>Group_2</v>
      </c>
      <c r="E26" s="3" t="str">
        <f>'02_Raw_Google'!D26</f>
        <v>Headline_C</v>
      </c>
      <c r="F26" s="3">
        <f>'02_Raw_Google'!E26</f>
        <v>166.09</v>
      </c>
      <c r="G26" s="3">
        <f>'02_Raw_Google'!F26</f>
        <v>4997</v>
      </c>
      <c r="H26" s="3">
        <f>'02_Raw_Google'!G26</f>
        <v>199</v>
      </c>
      <c r="I26" s="3">
        <f>0</f>
        <v>0</v>
      </c>
      <c r="J26" s="3">
        <f>'02_Raw_Google'!H26</f>
        <v>11</v>
      </c>
      <c r="K26" s="3">
        <f>'02_Raw_Google'!I26</f>
        <v>1246.55</v>
      </c>
    </row>
    <row r="27" spans="1:11">
      <c r="A27" s="4">
        <f>'02_Raw_Google'!A27</f>
        <v>46048</v>
      </c>
      <c r="B27" s="3" t="str">
        <f t="shared" si="0"/>
        <v>Google</v>
      </c>
      <c r="C27" s="3" t="str">
        <f>'02_Raw_Google'!B27</f>
        <v>Search_Generic</v>
      </c>
      <c r="D27" s="3" t="str">
        <f>'02_Raw_Google'!C27</f>
        <v>Group_2</v>
      </c>
      <c r="E27" s="3" t="str">
        <f>'02_Raw_Google'!D27</f>
        <v>Headline_C</v>
      </c>
      <c r="F27" s="3">
        <f>'02_Raw_Google'!E27</f>
        <v>180.43</v>
      </c>
      <c r="G27" s="3">
        <f>'02_Raw_Google'!F27</f>
        <v>7809</v>
      </c>
      <c r="H27" s="3">
        <f>'02_Raw_Google'!G27</f>
        <v>575</v>
      </c>
      <c r="I27" s="3">
        <f>0</f>
        <v>0</v>
      </c>
      <c r="J27" s="3">
        <f>'02_Raw_Google'!H27</f>
        <v>3</v>
      </c>
      <c r="K27" s="3">
        <f>'02_Raw_Google'!I27</f>
        <v>608</v>
      </c>
    </row>
    <row r="28" spans="1:11">
      <c r="A28" s="4">
        <f>'02_Raw_Google'!A28</f>
        <v>46049</v>
      </c>
      <c r="B28" s="3" t="str">
        <f t="shared" si="0"/>
        <v>Google</v>
      </c>
      <c r="C28" s="3" t="str">
        <f>'02_Raw_Google'!B28</f>
        <v>Search_Generic</v>
      </c>
      <c r="D28" s="3" t="str">
        <f>'02_Raw_Google'!C28</f>
        <v>Group_1</v>
      </c>
      <c r="E28" s="3" t="str">
        <f>'02_Raw_Google'!D28</f>
        <v>Headline_C</v>
      </c>
      <c r="F28" s="3">
        <f>'02_Raw_Google'!E28</f>
        <v>229</v>
      </c>
      <c r="G28" s="3">
        <f>'02_Raw_Google'!F28</f>
        <v>7467</v>
      </c>
      <c r="H28" s="3">
        <f>'02_Raw_Google'!G28</f>
        <v>443</v>
      </c>
      <c r="I28" s="3">
        <f>0</f>
        <v>0</v>
      </c>
      <c r="J28" s="3">
        <f>'02_Raw_Google'!H28</f>
        <v>28</v>
      </c>
      <c r="K28" s="3">
        <f>'02_Raw_Google'!I28</f>
        <v>1242.68</v>
      </c>
    </row>
    <row r="29" spans="1:11">
      <c r="A29" s="4">
        <f>'02_Raw_Google'!A29</f>
        <v>46050</v>
      </c>
      <c r="B29" s="3" t="str">
        <f t="shared" si="0"/>
        <v>Google</v>
      </c>
      <c r="C29" s="3" t="str">
        <f>'02_Raw_Google'!B29</f>
        <v>Search_Brand</v>
      </c>
      <c r="D29" s="3" t="str">
        <f>'02_Raw_Google'!C29</f>
        <v>Group_3</v>
      </c>
      <c r="E29" s="3" t="str">
        <f>'02_Raw_Google'!D29</f>
        <v>Headline_B</v>
      </c>
      <c r="F29" s="3">
        <f>'02_Raw_Google'!E29</f>
        <v>161.82</v>
      </c>
      <c r="G29" s="3">
        <f>'02_Raw_Google'!F29</f>
        <v>3122</v>
      </c>
      <c r="H29" s="3">
        <f>'02_Raw_Google'!G29</f>
        <v>280</v>
      </c>
      <c r="I29" s="3">
        <f>0</f>
        <v>0</v>
      </c>
      <c r="J29" s="3">
        <f>'02_Raw_Google'!H29</f>
        <v>29</v>
      </c>
      <c r="K29" s="3">
        <f>'02_Raw_Google'!I29</f>
        <v>438.56</v>
      </c>
    </row>
    <row r="30" spans="1:11">
      <c r="A30" s="4">
        <f>'02_Raw_Google'!A30</f>
        <v>46051</v>
      </c>
      <c r="B30" s="3" t="str">
        <f t="shared" si="0"/>
        <v>Google</v>
      </c>
      <c r="C30" s="3" t="str">
        <f>'02_Raw_Google'!B30</f>
        <v>PMax</v>
      </c>
      <c r="D30" s="3" t="str">
        <f>'02_Raw_Google'!C30</f>
        <v>Group_2</v>
      </c>
      <c r="E30" s="3" t="str">
        <f>'02_Raw_Google'!D30</f>
        <v>Headline_A</v>
      </c>
      <c r="F30" s="3">
        <f>'02_Raw_Google'!E30</f>
        <v>93.93</v>
      </c>
      <c r="G30" s="3">
        <f>'02_Raw_Google'!F30</f>
        <v>10628</v>
      </c>
      <c r="H30" s="3">
        <f>'02_Raw_Google'!G30</f>
        <v>788</v>
      </c>
      <c r="I30" s="3">
        <f>0</f>
        <v>0</v>
      </c>
      <c r="J30" s="3">
        <f>'02_Raw_Google'!H30</f>
        <v>9</v>
      </c>
      <c r="K30" s="3">
        <f>'02_Raw_Google'!I30</f>
        <v>81.459999999999994</v>
      </c>
    </row>
    <row r="31" spans="1:11">
      <c r="A31" s="4">
        <f>'02_Raw_Google'!A31</f>
        <v>46052</v>
      </c>
      <c r="B31" s="3" t="str">
        <f t="shared" si="0"/>
        <v>Google</v>
      </c>
      <c r="C31" s="3" t="str">
        <f>'02_Raw_Google'!B31</f>
        <v>Search_Generic</v>
      </c>
      <c r="D31" s="3" t="str">
        <f>'02_Raw_Google'!C31</f>
        <v>Group_1</v>
      </c>
      <c r="E31" s="3" t="str">
        <f>'02_Raw_Google'!D31</f>
        <v>Headline_C</v>
      </c>
      <c r="F31" s="3">
        <f>'02_Raw_Google'!E31</f>
        <v>208.9</v>
      </c>
      <c r="G31" s="3">
        <f>'02_Raw_Google'!F31</f>
        <v>12107</v>
      </c>
      <c r="H31" s="3">
        <f>'02_Raw_Google'!G31</f>
        <v>810</v>
      </c>
      <c r="I31" s="3">
        <f>0</f>
        <v>0</v>
      </c>
      <c r="J31" s="3">
        <f>'02_Raw_Google'!H31</f>
        <v>3</v>
      </c>
      <c r="K31" s="3">
        <f>'02_Raw_Google'!I31</f>
        <v>305.69</v>
      </c>
    </row>
    <row r="32" spans="1:11">
      <c r="A32" s="4">
        <f>'02_Raw_Google'!A32</f>
        <v>46023</v>
      </c>
      <c r="B32" s="3" t="str">
        <f t="shared" si="0"/>
        <v>Google</v>
      </c>
      <c r="C32" s="3" t="str">
        <f>'02_Raw_Google'!B32</f>
        <v>Search_Generic</v>
      </c>
      <c r="D32" s="3" t="str">
        <f>'02_Raw_Google'!C32</f>
        <v>Group_2</v>
      </c>
      <c r="E32" s="3" t="str">
        <f>'02_Raw_Google'!D32</f>
        <v>Headline_B</v>
      </c>
      <c r="F32" s="3">
        <f>'02_Raw_Google'!E32</f>
        <v>100.32</v>
      </c>
      <c r="G32" s="3">
        <f>'02_Raw_Google'!F32</f>
        <v>4890</v>
      </c>
      <c r="H32" s="3">
        <f>'02_Raw_Google'!G32</f>
        <v>170</v>
      </c>
      <c r="I32" s="3">
        <f>0</f>
        <v>0</v>
      </c>
      <c r="J32" s="3">
        <f>'02_Raw_Google'!H32</f>
        <v>25</v>
      </c>
      <c r="K32" s="3">
        <f>'02_Raw_Google'!I32</f>
        <v>745.33</v>
      </c>
    </row>
    <row r="33" spans="1:11">
      <c r="A33" s="4">
        <f>'02_Raw_Google'!A33</f>
        <v>46024</v>
      </c>
      <c r="B33" s="3" t="str">
        <f t="shared" si="0"/>
        <v>Google</v>
      </c>
      <c r="C33" s="3" t="str">
        <f>'02_Raw_Google'!B33</f>
        <v>Search_Brand</v>
      </c>
      <c r="D33" s="3" t="str">
        <f>'02_Raw_Google'!C33</f>
        <v>Group_2</v>
      </c>
      <c r="E33" s="3" t="str">
        <f>'02_Raw_Google'!D33</f>
        <v>Headline_A</v>
      </c>
      <c r="F33" s="3">
        <f>'02_Raw_Google'!E33</f>
        <v>23.04</v>
      </c>
      <c r="G33" s="3">
        <f>'02_Raw_Google'!F33</f>
        <v>7760</v>
      </c>
      <c r="H33" s="3">
        <f>'02_Raw_Google'!G33</f>
        <v>303</v>
      </c>
      <c r="I33" s="3">
        <f>0</f>
        <v>0</v>
      </c>
      <c r="J33" s="3">
        <f>'02_Raw_Google'!H33</f>
        <v>34</v>
      </c>
      <c r="K33" s="3">
        <f>'02_Raw_Google'!I33</f>
        <v>1420.91</v>
      </c>
    </row>
    <row r="34" spans="1:11">
      <c r="A34" s="4">
        <f>'02_Raw_Google'!A34</f>
        <v>46025</v>
      </c>
      <c r="B34" s="3" t="str">
        <f t="shared" si="0"/>
        <v>Google</v>
      </c>
      <c r="C34" s="3" t="str">
        <f>'02_Raw_Google'!B34</f>
        <v>Search_Generic</v>
      </c>
      <c r="D34" s="3" t="str">
        <f>'02_Raw_Google'!C34</f>
        <v>Group_1</v>
      </c>
      <c r="E34" s="3" t="str">
        <f>'02_Raw_Google'!D34</f>
        <v>Headline_A</v>
      </c>
      <c r="F34" s="3">
        <f>'02_Raw_Google'!E34</f>
        <v>210.2</v>
      </c>
      <c r="G34" s="3">
        <f>'02_Raw_Google'!F34</f>
        <v>3804</v>
      </c>
      <c r="H34" s="3">
        <f>'02_Raw_Google'!G34</f>
        <v>445</v>
      </c>
      <c r="I34" s="3">
        <f>0</f>
        <v>0</v>
      </c>
      <c r="J34" s="3">
        <f>'02_Raw_Google'!H34</f>
        <v>12</v>
      </c>
      <c r="K34" s="3">
        <f>'02_Raw_Google'!I34</f>
        <v>225.11</v>
      </c>
    </row>
    <row r="35" spans="1:11">
      <c r="A35" s="4">
        <f>'02_Raw_Google'!A35</f>
        <v>46026</v>
      </c>
      <c r="B35" s="3" t="str">
        <f t="shared" si="0"/>
        <v>Google</v>
      </c>
      <c r="C35" s="3" t="str">
        <f>'02_Raw_Google'!B35</f>
        <v>Search_Brand</v>
      </c>
      <c r="D35" s="3" t="str">
        <f>'02_Raw_Google'!C35</f>
        <v>Group_3</v>
      </c>
      <c r="E35" s="3" t="str">
        <f>'02_Raw_Google'!D35</f>
        <v>Headline_A</v>
      </c>
      <c r="F35" s="3">
        <f>'02_Raw_Google'!E35</f>
        <v>96.12</v>
      </c>
      <c r="G35" s="3">
        <f>'02_Raw_Google'!F35</f>
        <v>5936</v>
      </c>
      <c r="H35" s="3">
        <f>'02_Raw_Google'!G35</f>
        <v>637</v>
      </c>
      <c r="I35" s="3">
        <f>0</f>
        <v>0</v>
      </c>
      <c r="J35" s="3">
        <f>'02_Raw_Google'!H35</f>
        <v>9</v>
      </c>
      <c r="K35" s="3">
        <f>'02_Raw_Google'!I35</f>
        <v>1292.98</v>
      </c>
    </row>
    <row r="36" spans="1:11">
      <c r="A36" s="4">
        <f>'02_Raw_Google'!A36</f>
        <v>46027</v>
      </c>
      <c r="B36" s="3" t="str">
        <f t="shared" si="0"/>
        <v>Google</v>
      </c>
      <c r="C36" s="3" t="str">
        <f>'02_Raw_Google'!B36</f>
        <v>PMax</v>
      </c>
      <c r="D36" s="3" t="str">
        <f>'02_Raw_Google'!C36</f>
        <v>Group_3</v>
      </c>
      <c r="E36" s="3" t="str">
        <f>'02_Raw_Google'!D36</f>
        <v>Headline_A</v>
      </c>
      <c r="F36" s="3">
        <f>'02_Raw_Google'!E36</f>
        <v>196.85</v>
      </c>
      <c r="G36" s="3">
        <f>'02_Raw_Google'!F36</f>
        <v>1129</v>
      </c>
      <c r="H36" s="3">
        <f>'02_Raw_Google'!G36</f>
        <v>768</v>
      </c>
      <c r="I36" s="3">
        <f>0</f>
        <v>0</v>
      </c>
      <c r="J36" s="3">
        <f>'02_Raw_Google'!H36</f>
        <v>15</v>
      </c>
      <c r="K36" s="3">
        <f>'02_Raw_Google'!I36</f>
        <v>828.37</v>
      </c>
    </row>
    <row r="37" spans="1:11">
      <c r="A37" s="4">
        <f>'02_Raw_Google'!A37</f>
        <v>46028</v>
      </c>
      <c r="B37" s="3" t="str">
        <f t="shared" si="0"/>
        <v>Google</v>
      </c>
      <c r="C37" s="3" t="str">
        <f>'02_Raw_Google'!B37</f>
        <v>Search_Brand</v>
      </c>
      <c r="D37" s="3" t="str">
        <f>'02_Raw_Google'!C37</f>
        <v>Group_1</v>
      </c>
      <c r="E37" s="3" t="str">
        <f>'02_Raw_Google'!D37</f>
        <v>Headline_C</v>
      </c>
      <c r="F37" s="3">
        <f>'02_Raw_Google'!E37</f>
        <v>100.25</v>
      </c>
      <c r="G37" s="3">
        <f>'02_Raw_Google'!F37</f>
        <v>4440</v>
      </c>
      <c r="H37" s="3">
        <f>'02_Raw_Google'!G37</f>
        <v>68</v>
      </c>
      <c r="I37" s="3">
        <f>0</f>
        <v>0</v>
      </c>
      <c r="J37" s="3">
        <f>'02_Raw_Google'!H37</f>
        <v>25</v>
      </c>
      <c r="K37" s="3">
        <f>'02_Raw_Google'!I37</f>
        <v>1252.81</v>
      </c>
    </row>
    <row r="38" spans="1:11">
      <c r="A38" s="4">
        <f>'02_Raw_Google'!A38</f>
        <v>46029</v>
      </c>
      <c r="B38" s="3" t="str">
        <f t="shared" si="0"/>
        <v>Google</v>
      </c>
      <c r="C38" s="3" t="str">
        <f>'02_Raw_Google'!B38</f>
        <v>Search_Brand</v>
      </c>
      <c r="D38" s="3" t="str">
        <f>'02_Raw_Google'!C38</f>
        <v>Group_3</v>
      </c>
      <c r="E38" s="3" t="str">
        <f>'02_Raw_Google'!D38</f>
        <v>Headline_C</v>
      </c>
      <c r="F38" s="3">
        <f>'02_Raw_Google'!E38</f>
        <v>217.35</v>
      </c>
      <c r="G38" s="3">
        <f>'02_Raw_Google'!F38</f>
        <v>12886</v>
      </c>
      <c r="H38" s="3">
        <f>'02_Raw_Google'!G38</f>
        <v>843</v>
      </c>
      <c r="I38" s="3">
        <f>0</f>
        <v>0</v>
      </c>
      <c r="J38" s="3">
        <f>'02_Raw_Google'!H38</f>
        <v>5</v>
      </c>
      <c r="K38" s="3">
        <f>'02_Raw_Google'!I38</f>
        <v>503.69</v>
      </c>
    </row>
    <row r="39" spans="1:11">
      <c r="A39" s="4">
        <f>'02_Raw_Google'!A39</f>
        <v>46030</v>
      </c>
      <c r="B39" s="3" t="str">
        <f t="shared" si="0"/>
        <v>Google</v>
      </c>
      <c r="C39" s="3" t="str">
        <f>'02_Raw_Google'!B39</f>
        <v>Search_Brand</v>
      </c>
      <c r="D39" s="3" t="str">
        <f>'02_Raw_Google'!C39</f>
        <v>Group_1</v>
      </c>
      <c r="E39" s="3" t="str">
        <f>'02_Raw_Google'!D39</f>
        <v>Headline_B</v>
      </c>
      <c r="F39" s="3">
        <f>'02_Raw_Google'!E39</f>
        <v>66.58</v>
      </c>
      <c r="G39" s="3">
        <f>'02_Raw_Google'!F39</f>
        <v>14608</v>
      </c>
      <c r="H39" s="3">
        <f>'02_Raw_Google'!G39</f>
        <v>58</v>
      </c>
      <c r="I39" s="3">
        <f>0</f>
        <v>0</v>
      </c>
      <c r="J39" s="3">
        <f>'02_Raw_Google'!H39</f>
        <v>11</v>
      </c>
      <c r="K39" s="3">
        <f>'02_Raw_Google'!I39</f>
        <v>1272.72</v>
      </c>
    </row>
    <row r="40" spans="1:11">
      <c r="A40" s="4">
        <f>'02_Raw_Google'!A40</f>
        <v>46031</v>
      </c>
      <c r="B40" s="3" t="str">
        <f t="shared" si="0"/>
        <v>Google</v>
      </c>
      <c r="C40" s="3" t="str">
        <f>'02_Raw_Google'!B40</f>
        <v>Search_Brand</v>
      </c>
      <c r="D40" s="3" t="str">
        <f>'02_Raw_Google'!C40</f>
        <v>Group_1</v>
      </c>
      <c r="E40" s="3" t="str">
        <f>'02_Raw_Google'!D40</f>
        <v>Headline_B</v>
      </c>
      <c r="F40" s="3">
        <f>'02_Raw_Google'!E40</f>
        <v>244.02</v>
      </c>
      <c r="G40" s="3">
        <f>'02_Raw_Google'!F40</f>
        <v>8782</v>
      </c>
      <c r="H40" s="3">
        <f>'02_Raw_Google'!G40</f>
        <v>506</v>
      </c>
      <c r="I40" s="3">
        <f>0</f>
        <v>0</v>
      </c>
      <c r="J40" s="3">
        <f>'02_Raw_Google'!H40</f>
        <v>34</v>
      </c>
      <c r="K40" s="3">
        <f>'02_Raw_Google'!I40</f>
        <v>1177.4100000000001</v>
      </c>
    </row>
    <row r="41" spans="1:11">
      <c r="A41" s="4">
        <f>'02_Raw_Google'!A41</f>
        <v>46032</v>
      </c>
      <c r="B41" s="3" t="str">
        <f t="shared" si="0"/>
        <v>Google</v>
      </c>
      <c r="C41" s="3" t="str">
        <f>'02_Raw_Google'!B41</f>
        <v>PMax</v>
      </c>
      <c r="D41" s="3" t="str">
        <f>'02_Raw_Google'!C41</f>
        <v>Group_1</v>
      </c>
      <c r="E41" s="3" t="str">
        <f>'02_Raw_Google'!D41</f>
        <v>Headline_B</v>
      </c>
      <c r="F41" s="3">
        <f>'02_Raw_Google'!E41</f>
        <v>198.24</v>
      </c>
      <c r="G41" s="3">
        <f>'02_Raw_Google'!F41</f>
        <v>4907</v>
      </c>
      <c r="H41" s="3">
        <f>'02_Raw_Google'!G41</f>
        <v>347</v>
      </c>
      <c r="I41" s="3">
        <f>0</f>
        <v>0</v>
      </c>
      <c r="J41" s="3">
        <f>'02_Raw_Google'!H41</f>
        <v>24</v>
      </c>
      <c r="K41" s="3">
        <f>'02_Raw_Google'!I41</f>
        <v>406.68</v>
      </c>
    </row>
    <row r="42" spans="1:11">
      <c r="A42" s="4">
        <f>'02_Raw_Google'!A42</f>
        <v>46033</v>
      </c>
      <c r="B42" s="3" t="str">
        <f t="shared" si="0"/>
        <v>Google</v>
      </c>
      <c r="C42" s="3" t="str">
        <f>'02_Raw_Google'!B42</f>
        <v>PMax</v>
      </c>
      <c r="D42" s="3" t="str">
        <f>'02_Raw_Google'!C42</f>
        <v>Group_3</v>
      </c>
      <c r="E42" s="3" t="str">
        <f>'02_Raw_Google'!D42</f>
        <v>Headline_A</v>
      </c>
      <c r="F42" s="3">
        <f>'02_Raw_Google'!E42</f>
        <v>41.85</v>
      </c>
      <c r="G42" s="3">
        <f>'02_Raw_Google'!F42</f>
        <v>2141</v>
      </c>
      <c r="H42" s="3">
        <f>'02_Raw_Google'!G42</f>
        <v>274</v>
      </c>
      <c r="I42" s="3">
        <f>0</f>
        <v>0</v>
      </c>
      <c r="J42" s="3">
        <f>'02_Raw_Google'!H42</f>
        <v>15</v>
      </c>
      <c r="K42" s="3">
        <f>'02_Raw_Google'!I42</f>
        <v>266.5</v>
      </c>
    </row>
    <row r="43" spans="1:11">
      <c r="A43" s="4">
        <f>'02_Raw_Google'!A43</f>
        <v>46034</v>
      </c>
      <c r="B43" s="3" t="str">
        <f t="shared" si="0"/>
        <v>Google</v>
      </c>
      <c r="C43" s="3" t="str">
        <f>'02_Raw_Google'!B43</f>
        <v>Search_Generic</v>
      </c>
      <c r="D43" s="3" t="str">
        <f>'02_Raw_Google'!C43</f>
        <v>Group_1</v>
      </c>
      <c r="E43" s="3" t="str">
        <f>'02_Raw_Google'!D43</f>
        <v>Headline_A</v>
      </c>
      <c r="F43" s="3">
        <f>'02_Raw_Google'!E43</f>
        <v>147.96</v>
      </c>
      <c r="G43" s="3">
        <f>'02_Raw_Google'!F43</f>
        <v>12655</v>
      </c>
      <c r="H43" s="3">
        <f>'02_Raw_Google'!G43</f>
        <v>777</v>
      </c>
      <c r="I43" s="3">
        <f>0</f>
        <v>0</v>
      </c>
      <c r="J43" s="3">
        <f>'02_Raw_Google'!H43</f>
        <v>38</v>
      </c>
      <c r="K43" s="3">
        <f>'02_Raw_Google'!I43</f>
        <v>1312.64</v>
      </c>
    </row>
    <row r="44" spans="1:11">
      <c r="A44" s="4">
        <f>'02_Raw_Google'!A44</f>
        <v>46035</v>
      </c>
      <c r="B44" s="3" t="str">
        <f t="shared" si="0"/>
        <v>Google</v>
      </c>
      <c r="C44" s="3" t="str">
        <f>'02_Raw_Google'!B44</f>
        <v>PMax</v>
      </c>
      <c r="D44" s="3" t="str">
        <f>'02_Raw_Google'!C44</f>
        <v>Group_2</v>
      </c>
      <c r="E44" s="3" t="str">
        <f>'02_Raw_Google'!D44</f>
        <v>Headline_C</v>
      </c>
      <c r="F44" s="3">
        <f>'02_Raw_Google'!E44</f>
        <v>246.56</v>
      </c>
      <c r="G44" s="3">
        <f>'02_Raw_Google'!F44</f>
        <v>9207</v>
      </c>
      <c r="H44" s="3">
        <f>'02_Raw_Google'!G44</f>
        <v>726</v>
      </c>
      <c r="I44" s="3">
        <f>0</f>
        <v>0</v>
      </c>
      <c r="J44" s="3">
        <f>'02_Raw_Google'!H44</f>
        <v>8</v>
      </c>
      <c r="K44" s="3">
        <f>'02_Raw_Google'!I44</f>
        <v>1447.8</v>
      </c>
    </row>
    <row r="45" spans="1:11">
      <c r="A45" s="4">
        <f>'02_Raw_Google'!A45</f>
        <v>46036</v>
      </c>
      <c r="B45" s="3" t="str">
        <f t="shared" si="0"/>
        <v>Google</v>
      </c>
      <c r="C45" s="3" t="str">
        <f>'02_Raw_Google'!B45</f>
        <v>PMax</v>
      </c>
      <c r="D45" s="3" t="str">
        <f>'02_Raw_Google'!C45</f>
        <v>Group_3</v>
      </c>
      <c r="E45" s="3" t="str">
        <f>'02_Raw_Google'!D45</f>
        <v>Headline_A</v>
      </c>
      <c r="F45" s="3">
        <f>'02_Raw_Google'!E45</f>
        <v>125.7</v>
      </c>
      <c r="G45" s="3">
        <f>'02_Raw_Google'!F45</f>
        <v>1138</v>
      </c>
      <c r="H45" s="3">
        <f>'02_Raw_Google'!G45</f>
        <v>301</v>
      </c>
      <c r="I45" s="3">
        <f>0</f>
        <v>0</v>
      </c>
      <c r="J45" s="3">
        <f>'02_Raw_Google'!H45</f>
        <v>5</v>
      </c>
      <c r="K45" s="3">
        <f>'02_Raw_Google'!I45</f>
        <v>124.45</v>
      </c>
    </row>
    <row r="46" spans="1:11">
      <c r="A46" s="4">
        <f>'02_Raw_Google'!A46</f>
        <v>46037</v>
      </c>
      <c r="B46" s="3" t="str">
        <f t="shared" si="0"/>
        <v>Google</v>
      </c>
      <c r="C46" s="3" t="str">
        <f>'02_Raw_Google'!B46</f>
        <v>Search_Generic</v>
      </c>
      <c r="D46" s="3" t="str">
        <f>'02_Raw_Google'!C46</f>
        <v>Group_3</v>
      </c>
      <c r="E46" s="3" t="str">
        <f>'02_Raw_Google'!D46</f>
        <v>Headline_A</v>
      </c>
      <c r="F46" s="3">
        <f>'02_Raw_Google'!E46</f>
        <v>57.8</v>
      </c>
      <c r="G46" s="3">
        <f>'02_Raw_Google'!F46</f>
        <v>6695</v>
      </c>
      <c r="H46" s="3">
        <f>'02_Raw_Google'!G46</f>
        <v>469</v>
      </c>
      <c r="I46" s="3">
        <f>0</f>
        <v>0</v>
      </c>
      <c r="J46" s="3">
        <f>'02_Raw_Google'!H46</f>
        <v>26</v>
      </c>
      <c r="K46" s="3">
        <f>'02_Raw_Google'!I46</f>
        <v>1118.4000000000001</v>
      </c>
    </row>
    <row r="47" spans="1:11">
      <c r="A47" s="4">
        <f>'02_Raw_Google'!A47</f>
        <v>46038</v>
      </c>
      <c r="B47" s="3" t="str">
        <f t="shared" si="0"/>
        <v>Google</v>
      </c>
      <c r="C47" s="3" t="str">
        <f>'02_Raw_Google'!B47</f>
        <v>PMax</v>
      </c>
      <c r="D47" s="3" t="str">
        <f>'02_Raw_Google'!C47</f>
        <v>Group_3</v>
      </c>
      <c r="E47" s="3" t="str">
        <f>'02_Raw_Google'!D47</f>
        <v>Headline_A</v>
      </c>
      <c r="F47" s="3">
        <f>'02_Raw_Google'!E47</f>
        <v>128.91999999999999</v>
      </c>
      <c r="G47" s="3">
        <f>'02_Raw_Google'!F47</f>
        <v>13054</v>
      </c>
      <c r="H47" s="3">
        <f>'02_Raw_Google'!G47</f>
        <v>777</v>
      </c>
      <c r="I47" s="3">
        <f>0</f>
        <v>0</v>
      </c>
      <c r="J47" s="3">
        <f>'02_Raw_Google'!H47</f>
        <v>18</v>
      </c>
      <c r="K47" s="3">
        <f>'02_Raw_Google'!I47</f>
        <v>1371.52</v>
      </c>
    </row>
    <row r="48" spans="1:11">
      <c r="A48" s="4">
        <f>'02_Raw_Google'!A48</f>
        <v>46039</v>
      </c>
      <c r="B48" s="3" t="str">
        <f t="shared" si="0"/>
        <v>Google</v>
      </c>
      <c r="C48" s="3" t="str">
        <f>'02_Raw_Google'!B48</f>
        <v>Search_Brand</v>
      </c>
      <c r="D48" s="3" t="str">
        <f>'02_Raw_Google'!C48</f>
        <v>Group_3</v>
      </c>
      <c r="E48" s="3" t="str">
        <f>'02_Raw_Google'!D48</f>
        <v>Headline_B</v>
      </c>
      <c r="F48" s="3">
        <f>'02_Raw_Google'!E48</f>
        <v>135.43</v>
      </c>
      <c r="G48" s="3">
        <f>'02_Raw_Google'!F48</f>
        <v>3508</v>
      </c>
      <c r="H48" s="3">
        <f>'02_Raw_Google'!G48</f>
        <v>268</v>
      </c>
      <c r="I48" s="3">
        <f>0</f>
        <v>0</v>
      </c>
      <c r="J48" s="3">
        <f>'02_Raw_Google'!H48</f>
        <v>6</v>
      </c>
      <c r="K48" s="3">
        <f>'02_Raw_Google'!I48</f>
        <v>1297.45</v>
      </c>
    </row>
    <row r="49" spans="1:11">
      <c r="A49" s="4">
        <f>'02_Raw_Google'!A49</f>
        <v>46040</v>
      </c>
      <c r="B49" s="3" t="str">
        <f t="shared" si="0"/>
        <v>Google</v>
      </c>
      <c r="C49" s="3" t="str">
        <f>'02_Raw_Google'!B49</f>
        <v>Search_Brand</v>
      </c>
      <c r="D49" s="3" t="str">
        <f>'02_Raw_Google'!C49</f>
        <v>Group_2</v>
      </c>
      <c r="E49" s="3" t="str">
        <f>'02_Raw_Google'!D49</f>
        <v>Headline_B</v>
      </c>
      <c r="F49" s="3">
        <f>'02_Raw_Google'!E49</f>
        <v>189.3</v>
      </c>
      <c r="G49" s="3">
        <f>'02_Raw_Google'!F49</f>
        <v>12144</v>
      </c>
      <c r="H49" s="3">
        <f>'02_Raw_Google'!G49</f>
        <v>406</v>
      </c>
      <c r="I49" s="3">
        <f>0</f>
        <v>0</v>
      </c>
      <c r="J49" s="3">
        <f>'02_Raw_Google'!H49</f>
        <v>37</v>
      </c>
      <c r="K49" s="3">
        <f>'02_Raw_Google'!I49</f>
        <v>1449.62</v>
      </c>
    </row>
    <row r="50" spans="1:11">
      <c r="A50" s="4">
        <f>'02_Raw_Google'!A50</f>
        <v>46041</v>
      </c>
      <c r="B50" s="3" t="str">
        <f t="shared" si="0"/>
        <v>Google</v>
      </c>
      <c r="C50" s="3" t="str">
        <f>'02_Raw_Google'!B50</f>
        <v>Search_Generic</v>
      </c>
      <c r="D50" s="3" t="str">
        <f>'02_Raw_Google'!C50</f>
        <v>Group_3</v>
      </c>
      <c r="E50" s="3" t="str">
        <f>'02_Raw_Google'!D50</f>
        <v>Headline_C</v>
      </c>
      <c r="F50" s="3">
        <f>'02_Raw_Google'!E50</f>
        <v>179.23</v>
      </c>
      <c r="G50" s="3">
        <f>'02_Raw_Google'!F50</f>
        <v>2550</v>
      </c>
      <c r="H50" s="3">
        <f>'02_Raw_Google'!G50</f>
        <v>295</v>
      </c>
      <c r="I50" s="3">
        <f>0</f>
        <v>0</v>
      </c>
      <c r="J50" s="3">
        <f>'02_Raw_Google'!H50</f>
        <v>13</v>
      </c>
      <c r="K50" s="3">
        <f>'02_Raw_Google'!I50</f>
        <v>1159.33</v>
      </c>
    </row>
    <row r="51" spans="1:11">
      <c r="A51" s="4">
        <f>'02_Raw_Google'!A51</f>
        <v>46042</v>
      </c>
      <c r="B51" s="3" t="str">
        <f t="shared" si="0"/>
        <v>Google</v>
      </c>
      <c r="C51" s="3" t="str">
        <f>'02_Raw_Google'!B51</f>
        <v>Search_Generic</v>
      </c>
      <c r="D51" s="3" t="str">
        <f>'02_Raw_Google'!C51</f>
        <v>Group_3</v>
      </c>
      <c r="E51" s="3" t="str">
        <f>'02_Raw_Google'!D51</f>
        <v>Headline_A</v>
      </c>
      <c r="F51" s="3">
        <f>'02_Raw_Google'!E51</f>
        <v>109.6</v>
      </c>
      <c r="G51" s="3">
        <f>'02_Raw_Google'!F51</f>
        <v>6404</v>
      </c>
      <c r="H51" s="3">
        <f>'02_Raw_Google'!G51</f>
        <v>388</v>
      </c>
      <c r="I51" s="3">
        <f>0</f>
        <v>0</v>
      </c>
      <c r="J51" s="3">
        <f>'02_Raw_Google'!H51</f>
        <v>28</v>
      </c>
      <c r="K51" s="3">
        <f>'02_Raw_Google'!I51</f>
        <v>708.06</v>
      </c>
    </row>
    <row r="52" spans="1:11">
      <c r="A52" s="4">
        <f>'02_Raw_Google'!A52</f>
        <v>46043</v>
      </c>
      <c r="B52" s="3" t="str">
        <f t="shared" si="0"/>
        <v>Google</v>
      </c>
      <c r="C52" s="3" t="str">
        <f>'02_Raw_Google'!B52</f>
        <v>Search_Generic</v>
      </c>
      <c r="D52" s="3" t="str">
        <f>'02_Raw_Google'!C52</f>
        <v>Group_1</v>
      </c>
      <c r="E52" s="3" t="str">
        <f>'02_Raw_Google'!D52</f>
        <v>Headline_A</v>
      </c>
      <c r="F52" s="3">
        <f>'02_Raw_Google'!E52</f>
        <v>66.239999999999995</v>
      </c>
      <c r="G52" s="3">
        <f>'02_Raw_Google'!F52</f>
        <v>3221</v>
      </c>
      <c r="H52" s="3">
        <f>'02_Raw_Google'!G52</f>
        <v>369</v>
      </c>
      <c r="I52" s="3">
        <f>0</f>
        <v>0</v>
      </c>
      <c r="J52" s="3">
        <f>'02_Raw_Google'!H52</f>
        <v>5</v>
      </c>
      <c r="K52" s="3">
        <f>'02_Raw_Google'!I52</f>
        <v>522.97</v>
      </c>
    </row>
    <row r="53" spans="1:11">
      <c r="A53" s="4">
        <f>'02_Raw_Google'!A53</f>
        <v>46044</v>
      </c>
      <c r="B53" s="3" t="str">
        <f t="shared" si="0"/>
        <v>Google</v>
      </c>
      <c r="C53" s="3" t="str">
        <f>'02_Raw_Google'!B53</f>
        <v>Search_Brand</v>
      </c>
      <c r="D53" s="3" t="str">
        <f>'02_Raw_Google'!C53</f>
        <v>Group_3</v>
      </c>
      <c r="E53" s="3" t="str">
        <f>'02_Raw_Google'!D53</f>
        <v>Headline_C</v>
      </c>
      <c r="F53" s="3">
        <f>'02_Raw_Google'!E53</f>
        <v>166.59</v>
      </c>
      <c r="G53" s="3">
        <f>'02_Raw_Google'!F53</f>
        <v>7919</v>
      </c>
      <c r="H53" s="3">
        <f>'02_Raw_Google'!G53</f>
        <v>418</v>
      </c>
      <c r="I53" s="3">
        <f>0</f>
        <v>0</v>
      </c>
      <c r="J53" s="3">
        <f>'02_Raw_Google'!H53</f>
        <v>13</v>
      </c>
      <c r="K53" s="3">
        <f>'02_Raw_Google'!I53</f>
        <v>535.45000000000005</v>
      </c>
    </row>
    <row r="54" spans="1:11">
      <c r="A54" s="4">
        <f>'02_Raw_Google'!A54</f>
        <v>46045</v>
      </c>
      <c r="B54" s="3" t="str">
        <f t="shared" si="0"/>
        <v>Google</v>
      </c>
      <c r="C54" s="3" t="str">
        <f>'02_Raw_Google'!B54</f>
        <v>PMax</v>
      </c>
      <c r="D54" s="3" t="str">
        <f>'02_Raw_Google'!C54</f>
        <v>Group_2</v>
      </c>
      <c r="E54" s="3" t="str">
        <f>'02_Raw_Google'!D54</f>
        <v>Headline_A</v>
      </c>
      <c r="F54" s="3">
        <f>'02_Raw_Google'!E54</f>
        <v>114.1</v>
      </c>
      <c r="G54" s="3">
        <f>'02_Raw_Google'!F54</f>
        <v>9701</v>
      </c>
      <c r="H54" s="3">
        <f>'02_Raw_Google'!G54</f>
        <v>606</v>
      </c>
      <c r="I54" s="3">
        <f>0</f>
        <v>0</v>
      </c>
      <c r="J54" s="3">
        <f>'02_Raw_Google'!H54</f>
        <v>17</v>
      </c>
      <c r="K54" s="3">
        <f>'02_Raw_Google'!I54</f>
        <v>1108.68</v>
      </c>
    </row>
    <row r="55" spans="1:11">
      <c r="A55" s="4">
        <f>'02_Raw_Google'!A55</f>
        <v>46046</v>
      </c>
      <c r="B55" s="3" t="str">
        <f t="shared" si="0"/>
        <v>Google</v>
      </c>
      <c r="C55" s="3" t="str">
        <f>'02_Raw_Google'!B55</f>
        <v>Search_Brand</v>
      </c>
      <c r="D55" s="3" t="str">
        <f>'02_Raw_Google'!C55</f>
        <v>Group_2</v>
      </c>
      <c r="E55" s="3" t="str">
        <f>'02_Raw_Google'!D55</f>
        <v>Headline_A</v>
      </c>
      <c r="F55" s="3">
        <f>'02_Raw_Google'!E55</f>
        <v>46.08</v>
      </c>
      <c r="G55" s="3">
        <f>'02_Raw_Google'!F55</f>
        <v>6119</v>
      </c>
      <c r="H55" s="3">
        <f>'02_Raw_Google'!G55</f>
        <v>718</v>
      </c>
      <c r="I55" s="3">
        <f>0</f>
        <v>0</v>
      </c>
      <c r="J55" s="3">
        <f>'02_Raw_Google'!H55</f>
        <v>32</v>
      </c>
      <c r="K55" s="3">
        <f>'02_Raw_Google'!I55</f>
        <v>1139.0899999999999</v>
      </c>
    </row>
    <row r="56" spans="1:11">
      <c r="A56" s="4">
        <f>'02_Raw_Google'!A56</f>
        <v>46047</v>
      </c>
      <c r="B56" s="3" t="str">
        <f t="shared" si="0"/>
        <v>Google</v>
      </c>
      <c r="C56" s="3" t="str">
        <f>'02_Raw_Google'!B56</f>
        <v>Search_Generic</v>
      </c>
      <c r="D56" s="3" t="str">
        <f>'02_Raw_Google'!C56</f>
        <v>Group_2</v>
      </c>
      <c r="E56" s="3" t="str">
        <f>'02_Raw_Google'!D56</f>
        <v>Headline_B</v>
      </c>
      <c r="F56" s="3">
        <f>'02_Raw_Google'!E56</f>
        <v>226.63</v>
      </c>
      <c r="G56" s="3">
        <f>'02_Raw_Google'!F56</f>
        <v>7409</v>
      </c>
      <c r="H56" s="3">
        <f>'02_Raw_Google'!G56</f>
        <v>32</v>
      </c>
      <c r="I56" s="3">
        <f>0</f>
        <v>0</v>
      </c>
      <c r="J56" s="3">
        <f>'02_Raw_Google'!H56</f>
        <v>29</v>
      </c>
      <c r="K56" s="3">
        <f>'02_Raw_Google'!I56</f>
        <v>364.51</v>
      </c>
    </row>
    <row r="57" spans="1:11">
      <c r="A57" s="4">
        <f>'02_Raw_Google'!A57</f>
        <v>46048</v>
      </c>
      <c r="B57" s="3" t="str">
        <f t="shared" si="0"/>
        <v>Google</v>
      </c>
      <c r="C57" s="3" t="str">
        <f>'02_Raw_Google'!B57</f>
        <v>PMax</v>
      </c>
      <c r="D57" s="3" t="str">
        <f>'02_Raw_Google'!C57</f>
        <v>Group_2</v>
      </c>
      <c r="E57" s="3" t="str">
        <f>'02_Raw_Google'!D57</f>
        <v>Headline_C</v>
      </c>
      <c r="F57" s="3">
        <f>'02_Raw_Google'!E57</f>
        <v>177.44</v>
      </c>
      <c r="G57" s="3">
        <f>'02_Raw_Google'!F57</f>
        <v>14200</v>
      </c>
      <c r="H57" s="3">
        <f>'02_Raw_Google'!G57</f>
        <v>458</v>
      </c>
      <c r="I57" s="3">
        <f>0</f>
        <v>0</v>
      </c>
      <c r="J57" s="3">
        <f>'02_Raw_Google'!H57</f>
        <v>3</v>
      </c>
      <c r="K57" s="3">
        <f>'02_Raw_Google'!I57</f>
        <v>1312.73</v>
      </c>
    </row>
    <row r="58" spans="1:11">
      <c r="A58" s="4">
        <f>'02_Raw_Google'!A58</f>
        <v>46049</v>
      </c>
      <c r="B58" s="3" t="str">
        <f t="shared" si="0"/>
        <v>Google</v>
      </c>
      <c r="C58" s="3" t="str">
        <f>'02_Raw_Google'!B58</f>
        <v>PMax</v>
      </c>
      <c r="D58" s="3" t="str">
        <f>'02_Raw_Google'!C58</f>
        <v>Group_3</v>
      </c>
      <c r="E58" s="3" t="str">
        <f>'02_Raw_Google'!D58</f>
        <v>Headline_C</v>
      </c>
      <c r="F58" s="3">
        <f>'02_Raw_Google'!E58</f>
        <v>175.55</v>
      </c>
      <c r="G58" s="3">
        <f>'02_Raw_Google'!F58</f>
        <v>6187</v>
      </c>
      <c r="H58" s="3">
        <f>'02_Raw_Google'!G58</f>
        <v>171</v>
      </c>
      <c r="I58" s="3">
        <f>0</f>
        <v>0</v>
      </c>
      <c r="J58" s="3">
        <f>'02_Raw_Google'!H58</f>
        <v>34</v>
      </c>
      <c r="K58" s="3">
        <f>'02_Raw_Google'!I58</f>
        <v>1095.19</v>
      </c>
    </row>
    <row r="59" spans="1:11">
      <c r="A59" s="4">
        <f>'02_Raw_Google'!A59</f>
        <v>46050</v>
      </c>
      <c r="B59" s="3" t="str">
        <f t="shared" si="0"/>
        <v>Google</v>
      </c>
      <c r="C59" s="3" t="str">
        <f>'02_Raw_Google'!B59</f>
        <v>Search_Brand</v>
      </c>
      <c r="D59" s="3" t="str">
        <f>'02_Raw_Google'!C59</f>
        <v>Group_3</v>
      </c>
      <c r="E59" s="3" t="str">
        <f>'02_Raw_Google'!D59</f>
        <v>Headline_C</v>
      </c>
      <c r="F59" s="3">
        <f>'02_Raw_Google'!E59</f>
        <v>208.31</v>
      </c>
      <c r="G59" s="3">
        <f>'02_Raw_Google'!F59</f>
        <v>12718</v>
      </c>
      <c r="H59" s="3">
        <f>'02_Raw_Google'!G59</f>
        <v>405</v>
      </c>
      <c r="I59" s="3">
        <f>0</f>
        <v>0</v>
      </c>
      <c r="J59" s="3">
        <f>'02_Raw_Google'!H59</f>
        <v>27</v>
      </c>
      <c r="K59" s="3">
        <f>'02_Raw_Google'!I59</f>
        <v>879.11</v>
      </c>
    </row>
    <row r="60" spans="1:11">
      <c r="A60" s="4">
        <f>'02_Raw_Google'!A60</f>
        <v>46051</v>
      </c>
      <c r="B60" s="3" t="str">
        <f t="shared" si="0"/>
        <v>Google</v>
      </c>
      <c r="C60" s="3" t="str">
        <f>'02_Raw_Google'!B60</f>
        <v>Search_Generic</v>
      </c>
      <c r="D60" s="3" t="str">
        <f>'02_Raw_Google'!C60</f>
        <v>Group_2</v>
      </c>
      <c r="E60" s="3" t="str">
        <f>'02_Raw_Google'!D60</f>
        <v>Headline_C</v>
      </c>
      <c r="F60" s="3">
        <f>'02_Raw_Google'!E60</f>
        <v>139.47</v>
      </c>
      <c r="G60" s="3">
        <f>'02_Raw_Google'!F60</f>
        <v>12634</v>
      </c>
      <c r="H60" s="3">
        <f>'02_Raw_Google'!G60</f>
        <v>699</v>
      </c>
      <c r="I60" s="3">
        <f>0</f>
        <v>0</v>
      </c>
      <c r="J60" s="3">
        <f>'02_Raw_Google'!H60</f>
        <v>13</v>
      </c>
      <c r="K60" s="3">
        <f>'02_Raw_Google'!I60</f>
        <v>749.58</v>
      </c>
    </row>
    <row r="61" spans="1:11">
      <c r="A61" s="4">
        <f>'02_Raw_Google'!A61</f>
        <v>46052</v>
      </c>
      <c r="B61" s="3" t="str">
        <f t="shared" si="0"/>
        <v>Google</v>
      </c>
      <c r="C61" s="3" t="str">
        <f>'02_Raw_Google'!B61</f>
        <v>Search_Brand</v>
      </c>
      <c r="D61" s="3" t="str">
        <f>'02_Raw_Google'!C61</f>
        <v>Group_2</v>
      </c>
      <c r="E61" s="3" t="str">
        <f>'02_Raw_Google'!D61</f>
        <v>Headline_B</v>
      </c>
      <c r="F61" s="3">
        <f>'02_Raw_Google'!E61</f>
        <v>206.54</v>
      </c>
      <c r="G61" s="3">
        <f>'02_Raw_Google'!F61</f>
        <v>4793</v>
      </c>
      <c r="H61" s="3">
        <f>'02_Raw_Google'!G61</f>
        <v>353</v>
      </c>
      <c r="I61" s="3">
        <f>0</f>
        <v>0</v>
      </c>
      <c r="J61" s="3">
        <f>'02_Raw_Google'!H61</f>
        <v>33</v>
      </c>
      <c r="K61" s="3">
        <f>'02_Raw_Google'!I61</f>
        <v>851.39</v>
      </c>
    </row>
    <row r="62" spans="1:11">
      <c r="A62" s="4">
        <f>'02_Raw_Google'!A62</f>
        <v>46023</v>
      </c>
      <c r="B62" s="3" t="str">
        <f t="shared" si="0"/>
        <v>Google</v>
      </c>
      <c r="C62" s="3" t="str">
        <f>'02_Raw_Google'!B62</f>
        <v>PMax</v>
      </c>
      <c r="D62" s="3" t="str">
        <f>'02_Raw_Google'!C62</f>
        <v>Group_3</v>
      </c>
      <c r="E62" s="3" t="str">
        <f>'02_Raw_Google'!D62</f>
        <v>Headline_B</v>
      </c>
      <c r="F62" s="3">
        <f>'02_Raw_Google'!E62</f>
        <v>132.05000000000001</v>
      </c>
      <c r="G62" s="3">
        <f>'02_Raw_Google'!F62</f>
        <v>9480</v>
      </c>
      <c r="H62" s="3">
        <f>'02_Raw_Google'!G62</f>
        <v>175</v>
      </c>
      <c r="I62" s="3">
        <f>0</f>
        <v>0</v>
      </c>
      <c r="J62" s="3">
        <f>'02_Raw_Google'!H62</f>
        <v>6</v>
      </c>
      <c r="K62" s="3">
        <f>'02_Raw_Google'!I62</f>
        <v>306.13</v>
      </c>
    </row>
    <row r="63" spans="1:11">
      <c r="A63" s="4">
        <f>'02_Raw_Google'!A63</f>
        <v>46024</v>
      </c>
      <c r="B63" s="3" t="str">
        <f t="shared" si="0"/>
        <v>Google</v>
      </c>
      <c r="C63" s="3" t="str">
        <f>'02_Raw_Google'!B63</f>
        <v>Search_Brand</v>
      </c>
      <c r="D63" s="3" t="str">
        <f>'02_Raw_Google'!C63</f>
        <v>Group_2</v>
      </c>
      <c r="E63" s="3" t="str">
        <f>'02_Raw_Google'!D63</f>
        <v>Headline_A</v>
      </c>
      <c r="F63" s="3">
        <f>'02_Raw_Google'!E63</f>
        <v>30.79</v>
      </c>
      <c r="G63" s="3">
        <f>'02_Raw_Google'!F63</f>
        <v>8844</v>
      </c>
      <c r="H63" s="3">
        <f>'02_Raw_Google'!G63</f>
        <v>322</v>
      </c>
      <c r="I63" s="3">
        <f>0</f>
        <v>0</v>
      </c>
      <c r="J63" s="3">
        <f>'02_Raw_Google'!H63</f>
        <v>24</v>
      </c>
      <c r="K63" s="3">
        <f>'02_Raw_Google'!I63</f>
        <v>369.26</v>
      </c>
    </row>
    <row r="64" spans="1:11">
      <c r="A64" s="4">
        <f>'02_Raw_Google'!A64</f>
        <v>46025</v>
      </c>
      <c r="B64" s="3" t="str">
        <f t="shared" si="0"/>
        <v>Google</v>
      </c>
      <c r="C64" s="3" t="str">
        <f>'02_Raw_Google'!B64</f>
        <v>Search_Brand</v>
      </c>
      <c r="D64" s="3" t="str">
        <f>'02_Raw_Google'!C64</f>
        <v>Group_1</v>
      </c>
      <c r="E64" s="3" t="str">
        <f>'02_Raw_Google'!D64</f>
        <v>Headline_A</v>
      </c>
      <c r="F64" s="3">
        <f>'02_Raw_Google'!E64</f>
        <v>110.23</v>
      </c>
      <c r="G64" s="3">
        <f>'02_Raw_Google'!F64</f>
        <v>14649</v>
      </c>
      <c r="H64" s="3">
        <f>'02_Raw_Google'!G64</f>
        <v>694</v>
      </c>
      <c r="I64" s="3">
        <f>0</f>
        <v>0</v>
      </c>
      <c r="J64" s="3">
        <f>'02_Raw_Google'!H64</f>
        <v>19</v>
      </c>
      <c r="K64" s="3">
        <f>'02_Raw_Google'!I64</f>
        <v>209.45</v>
      </c>
    </row>
    <row r="65" spans="1:11">
      <c r="A65" s="4">
        <f>'02_Raw_Google'!A65</f>
        <v>46026</v>
      </c>
      <c r="B65" s="3" t="str">
        <f t="shared" si="0"/>
        <v>Google</v>
      </c>
      <c r="C65" s="3" t="str">
        <f>'02_Raw_Google'!B65</f>
        <v>Search_Generic</v>
      </c>
      <c r="D65" s="3" t="str">
        <f>'02_Raw_Google'!C65</f>
        <v>Group_2</v>
      </c>
      <c r="E65" s="3" t="str">
        <f>'02_Raw_Google'!D65</f>
        <v>Headline_A</v>
      </c>
      <c r="F65" s="3">
        <f>'02_Raw_Google'!E65</f>
        <v>131.9</v>
      </c>
      <c r="G65" s="3">
        <f>'02_Raw_Google'!F65</f>
        <v>9038</v>
      </c>
      <c r="H65" s="3">
        <f>'02_Raw_Google'!G65</f>
        <v>461</v>
      </c>
      <c r="I65" s="3">
        <f>0</f>
        <v>0</v>
      </c>
      <c r="J65" s="3">
        <f>'02_Raw_Google'!H65</f>
        <v>16</v>
      </c>
      <c r="K65" s="3">
        <f>'02_Raw_Google'!I65</f>
        <v>298.19</v>
      </c>
    </row>
    <row r="66" spans="1:11">
      <c r="A66" s="4">
        <f>'02_Raw_Google'!A66</f>
        <v>46027</v>
      </c>
      <c r="B66" s="3" t="str">
        <f t="shared" si="0"/>
        <v>Google</v>
      </c>
      <c r="C66" s="3" t="str">
        <f>'02_Raw_Google'!B66</f>
        <v>Search_Generic</v>
      </c>
      <c r="D66" s="3" t="str">
        <f>'02_Raw_Google'!C66</f>
        <v>Group_2</v>
      </c>
      <c r="E66" s="3" t="str">
        <f>'02_Raw_Google'!D66</f>
        <v>Headline_A</v>
      </c>
      <c r="F66" s="3">
        <f>'02_Raw_Google'!E66</f>
        <v>184.25</v>
      </c>
      <c r="G66" s="3">
        <f>'02_Raw_Google'!F66</f>
        <v>12351</v>
      </c>
      <c r="H66" s="3">
        <f>'02_Raw_Google'!G66</f>
        <v>734</v>
      </c>
      <c r="I66" s="3">
        <f>0</f>
        <v>0</v>
      </c>
      <c r="J66" s="3">
        <f>'02_Raw_Google'!H66</f>
        <v>28</v>
      </c>
      <c r="K66" s="3">
        <f>'02_Raw_Google'!I66</f>
        <v>724.24</v>
      </c>
    </row>
    <row r="67" spans="1:11">
      <c r="A67" s="4">
        <f>'02_Raw_Google'!A67</f>
        <v>46028</v>
      </c>
      <c r="B67" s="3" t="str">
        <f t="shared" ref="B67:B101" si="1">"Google"</f>
        <v>Google</v>
      </c>
      <c r="C67" s="3" t="str">
        <f>'02_Raw_Google'!B67</f>
        <v>PMax</v>
      </c>
      <c r="D67" s="3" t="str">
        <f>'02_Raw_Google'!C67</f>
        <v>Group_1</v>
      </c>
      <c r="E67" s="3" t="str">
        <f>'02_Raw_Google'!D67</f>
        <v>Headline_B</v>
      </c>
      <c r="F67" s="3">
        <f>'02_Raw_Google'!E67</f>
        <v>40.049999999999997</v>
      </c>
      <c r="G67" s="3">
        <f>'02_Raw_Google'!F67</f>
        <v>5673</v>
      </c>
      <c r="H67" s="3">
        <f>'02_Raw_Google'!G67</f>
        <v>614</v>
      </c>
      <c r="I67" s="3">
        <f>0</f>
        <v>0</v>
      </c>
      <c r="J67" s="3">
        <f>'02_Raw_Google'!H67</f>
        <v>33</v>
      </c>
      <c r="K67" s="3">
        <f>'02_Raw_Google'!I67</f>
        <v>833.1</v>
      </c>
    </row>
    <row r="68" spans="1:11">
      <c r="A68" s="4">
        <f>'02_Raw_Google'!A68</f>
        <v>46029</v>
      </c>
      <c r="B68" s="3" t="str">
        <f t="shared" si="1"/>
        <v>Google</v>
      </c>
      <c r="C68" s="3" t="str">
        <f>'02_Raw_Google'!B68</f>
        <v>Search_Brand</v>
      </c>
      <c r="D68" s="3" t="str">
        <f>'02_Raw_Google'!C68</f>
        <v>Group_1</v>
      </c>
      <c r="E68" s="3" t="str">
        <f>'02_Raw_Google'!D68</f>
        <v>Headline_C</v>
      </c>
      <c r="F68" s="3">
        <f>'02_Raw_Google'!E68</f>
        <v>47.9</v>
      </c>
      <c r="G68" s="3">
        <f>'02_Raw_Google'!F68</f>
        <v>14127</v>
      </c>
      <c r="H68" s="3">
        <f>'02_Raw_Google'!G68</f>
        <v>428</v>
      </c>
      <c r="I68" s="3">
        <f>0</f>
        <v>0</v>
      </c>
      <c r="J68" s="3">
        <f>'02_Raw_Google'!H68</f>
        <v>13</v>
      </c>
      <c r="K68" s="3">
        <f>'02_Raw_Google'!I68</f>
        <v>105.36</v>
      </c>
    </row>
    <row r="69" spans="1:11">
      <c r="A69" s="4">
        <f>'02_Raw_Google'!A69</f>
        <v>46030</v>
      </c>
      <c r="B69" s="3" t="str">
        <f t="shared" si="1"/>
        <v>Google</v>
      </c>
      <c r="C69" s="3" t="str">
        <f>'02_Raw_Google'!B69</f>
        <v>Search_Brand</v>
      </c>
      <c r="D69" s="3" t="str">
        <f>'02_Raw_Google'!C69</f>
        <v>Group_3</v>
      </c>
      <c r="E69" s="3" t="str">
        <f>'02_Raw_Google'!D69</f>
        <v>Headline_B</v>
      </c>
      <c r="F69" s="3">
        <f>'02_Raw_Google'!E69</f>
        <v>76.97</v>
      </c>
      <c r="G69" s="3">
        <f>'02_Raw_Google'!F69</f>
        <v>5606</v>
      </c>
      <c r="H69" s="3">
        <f>'02_Raw_Google'!G69</f>
        <v>846</v>
      </c>
      <c r="I69" s="3">
        <f>0</f>
        <v>0</v>
      </c>
      <c r="J69" s="3">
        <f>'02_Raw_Google'!H69</f>
        <v>25</v>
      </c>
      <c r="K69" s="3">
        <f>'02_Raw_Google'!I69</f>
        <v>1211.45</v>
      </c>
    </row>
    <row r="70" spans="1:11">
      <c r="A70" s="4">
        <f>'02_Raw_Google'!A70</f>
        <v>46031</v>
      </c>
      <c r="B70" s="3" t="str">
        <f t="shared" si="1"/>
        <v>Google</v>
      </c>
      <c r="C70" s="3" t="str">
        <f>'02_Raw_Google'!B70</f>
        <v>Search_Brand</v>
      </c>
      <c r="D70" s="3" t="str">
        <f>'02_Raw_Google'!C70</f>
        <v>Group_3</v>
      </c>
      <c r="E70" s="3" t="str">
        <f>'02_Raw_Google'!D70</f>
        <v>Headline_A</v>
      </c>
      <c r="F70" s="3">
        <f>'02_Raw_Google'!E70</f>
        <v>77.63</v>
      </c>
      <c r="G70" s="3">
        <f>'02_Raw_Google'!F70</f>
        <v>9392</v>
      </c>
      <c r="H70" s="3">
        <f>'02_Raw_Google'!G70</f>
        <v>373</v>
      </c>
      <c r="I70" s="3">
        <f>0</f>
        <v>0</v>
      </c>
      <c r="J70" s="3">
        <f>'02_Raw_Google'!H70</f>
        <v>36</v>
      </c>
      <c r="K70" s="3">
        <f>'02_Raw_Google'!I70</f>
        <v>497.72</v>
      </c>
    </row>
    <row r="71" spans="1:11">
      <c r="A71" s="4">
        <f>'02_Raw_Google'!A71</f>
        <v>46032</v>
      </c>
      <c r="B71" s="3" t="str">
        <f t="shared" si="1"/>
        <v>Google</v>
      </c>
      <c r="C71" s="3" t="str">
        <f>'02_Raw_Google'!B71</f>
        <v>PMax</v>
      </c>
      <c r="D71" s="3" t="str">
        <f>'02_Raw_Google'!C71</f>
        <v>Group_1</v>
      </c>
      <c r="E71" s="3" t="str">
        <f>'02_Raw_Google'!D71</f>
        <v>Headline_B</v>
      </c>
      <c r="F71" s="3">
        <f>'02_Raw_Google'!E71</f>
        <v>187.06</v>
      </c>
      <c r="G71" s="3">
        <f>'02_Raw_Google'!F71</f>
        <v>12982</v>
      </c>
      <c r="H71" s="3">
        <f>'02_Raw_Google'!G71</f>
        <v>169</v>
      </c>
      <c r="I71" s="3">
        <f>0</f>
        <v>0</v>
      </c>
      <c r="J71" s="3">
        <f>'02_Raw_Google'!H71</f>
        <v>27</v>
      </c>
      <c r="K71" s="3">
        <f>'02_Raw_Google'!I71</f>
        <v>1374.81</v>
      </c>
    </row>
    <row r="72" spans="1:11">
      <c r="A72" s="4">
        <f>'02_Raw_Google'!A72</f>
        <v>46033</v>
      </c>
      <c r="B72" s="3" t="str">
        <f t="shared" si="1"/>
        <v>Google</v>
      </c>
      <c r="C72" s="3" t="str">
        <f>'02_Raw_Google'!B72</f>
        <v>PMax</v>
      </c>
      <c r="D72" s="3" t="str">
        <f>'02_Raw_Google'!C72</f>
        <v>Group_1</v>
      </c>
      <c r="E72" s="3" t="str">
        <f>'02_Raw_Google'!D72</f>
        <v>Headline_C</v>
      </c>
      <c r="F72" s="3">
        <f>'02_Raw_Google'!E72</f>
        <v>73.92</v>
      </c>
      <c r="G72" s="3">
        <f>'02_Raw_Google'!F72</f>
        <v>6713</v>
      </c>
      <c r="H72" s="3">
        <f>'02_Raw_Google'!G72</f>
        <v>216</v>
      </c>
      <c r="I72" s="3">
        <f>0</f>
        <v>0</v>
      </c>
      <c r="J72" s="3">
        <f>'02_Raw_Google'!H72</f>
        <v>38</v>
      </c>
      <c r="K72" s="3">
        <f>'02_Raw_Google'!I72</f>
        <v>1453.87</v>
      </c>
    </row>
    <row r="73" spans="1:11">
      <c r="A73" s="4">
        <f>'02_Raw_Google'!A73</f>
        <v>46034</v>
      </c>
      <c r="B73" s="3" t="str">
        <f t="shared" si="1"/>
        <v>Google</v>
      </c>
      <c r="C73" s="3" t="str">
        <f>'02_Raw_Google'!B73</f>
        <v>Search_Generic</v>
      </c>
      <c r="D73" s="3" t="str">
        <f>'02_Raw_Google'!C73</f>
        <v>Group_3</v>
      </c>
      <c r="E73" s="3" t="str">
        <f>'02_Raw_Google'!D73</f>
        <v>Headline_C</v>
      </c>
      <c r="F73" s="3">
        <f>'02_Raw_Google'!E73</f>
        <v>163.78</v>
      </c>
      <c r="G73" s="3">
        <f>'02_Raw_Google'!F73</f>
        <v>7924</v>
      </c>
      <c r="H73" s="3">
        <f>'02_Raw_Google'!G73</f>
        <v>834</v>
      </c>
      <c r="I73" s="3">
        <f>0</f>
        <v>0</v>
      </c>
      <c r="J73" s="3">
        <f>'02_Raw_Google'!H73</f>
        <v>7</v>
      </c>
      <c r="K73" s="3">
        <f>'02_Raw_Google'!I73</f>
        <v>343.35</v>
      </c>
    </row>
    <row r="74" spans="1:11">
      <c r="A74" s="4">
        <f>'02_Raw_Google'!A74</f>
        <v>46035</v>
      </c>
      <c r="B74" s="3" t="str">
        <f t="shared" si="1"/>
        <v>Google</v>
      </c>
      <c r="C74" s="3" t="str">
        <f>'02_Raw_Google'!B74</f>
        <v>Search_Generic</v>
      </c>
      <c r="D74" s="3" t="str">
        <f>'02_Raw_Google'!C74</f>
        <v>Group_2</v>
      </c>
      <c r="E74" s="3" t="str">
        <f>'02_Raw_Google'!D74</f>
        <v>Headline_B</v>
      </c>
      <c r="F74" s="3">
        <f>'02_Raw_Google'!E74</f>
        <v>131.15</v>
      </c>
      <c r="G74" s="3">
        <f>'02_Raw_Google'!F74</f>
        <v>3957</v>
      </c>
      <c r="H74" s="3">
        <f>'02_Raw_Google'!G74</f>
        <v>90</v>
      </c>
      <c r="I74" s="3">
        <f>0</f>
        <v>0</v>
      </c>
      <c r="J74" s="3">
        <f>'02_Raw_Google'!H74</f>
        <v>5</v>
      </c>
      <c r="K74" s="3">
        <f>'02_Raw_Google'!I74</f>
        <v>736.18</v>
      </c>
    </row>
    <row r="75" spans="1:11">
      <c r="A75" s="4">
        <f>'02_Raw_Google'!A75</f>
        <v>46036</v>
      </c>
      <c r="B75" s="3" t="str">
        <f t="shared" si="1"/>
        <v>Google</v>
      </c>
      <c r="C75" s="3" t="str">
        <f>'02_Raw_Google'!B75</f>
        <v>Search_Generic</v>
      </c>
      <c r="D75" s="3" t="str">
        <f>'02_Raw_Google'!C75</f>
        <v>Group_1</v>
      </c>
      <c r="E75" s="3" t="str">
        <f>'02_Raw_Google'!D75</f>
        <v>Headline_B</v>
      </c>
      <c r="F75" s="3">
        <f>'02_Raw_Google'!E75</f>
        <v>149.72</v>
      </c>
      <c r="G75" s="3">
        <f>'02_Raw_Google'!F75</f>
        <v>13337</v>
      </c>
      <c r="H75" s="3">
        <f>'02_Raw_Google'!G75</f>
        <v>409</v>
      </c>
      <c r="I75" s="3">
        <f>0</f>
        <v>0</v>
      </c>
      <c r="J75" s="3">
        <f>'02_Raw_Google'!H75</f>
        <v>31</v>
      </c>
      <c r="K75" s="3">
        <f>'02_Raw_Google'!I75</f>
        <v>81.75</v>
      </c>
    </row>
    <row r="76" spans="1:11">
      <c r="A76" s="4">
        <f>'02_Raw_Google'!A76</f>
        <v>46037</v>
      </c>
      <c r="B76" s="3" t="str">
        <f t="shared" si="1"/>
        <v>Google</v>
      </c>
      <c r="C76" s="3" t="str">
        <f>'02_Raw_Google'!B76</f>
        <v>Search_Brand</v>
      </c>
      <c r="D76" s="3" t="str">
        <f>'02_Raw_Google'!C76</f>
        <v>Group_3</v>
      </c>
      <c r="E76" s="3" t="str">
        <f>'02_Raw_Google'!D76</f>
        <v>Headline_B</v>
      </c>
      <c r="F76" s="3">
        <f>'02_Raw_Google'!E76</f>
        <v>211.96</v>
      </c>
      <c r="G76" s="3">
        <f>'02_Raw_Google'!F76</f>
        <v>1190</v>
      </c>
      <c r="H76" s="3">
        <f>'02_Raw_Google'!G76</f>
        <v>739</v>
      </c>
      <c r="I76" s="3">
        <f>0</f>
        <v>0</v>
      </c>
      <c r="J76" s="3">
        <f>'02_Raw_Google'!H76</f>
        <v>23</v>
      </c>
      <c r="K76" s="3">
        <f>'02_Raw_Google'!I76</f>
        <v>929.62</v>
      </c>
    </row>
    <row r="77" spans="1:11">
      <c r="A77" s="4">
        <f>'02_Raw_Google'!A77</f>
        <v>46038</v>
      </c>
      <c r="B77" s="3" t="str">
        <f t="shared" si="1"/>
        <v>Google</v>
      </c>
      <c r="C77" s="3" t="str">
        <f>'02_Raw_Google'!B77</f>
        <v>Search_Brand</v>
      </c>
      <c r="D77" s="3" t="str">
        <f>'02_Raw_Google'!C77</f>
        <v>Group_2</v>
      </c>
      <c r="E77" s="3" t="str">
        <f>'02_Raw_Google'!D77</f>
        <v>Headline_A</v>
      </c>
      <c r="F77" s="3">
        <f>'02_Raw_Google'!E77</f>
        <v>110.03</v>
      </c>
      <c r="G77" s="3">
        <f>'02_Raw_Google'!F77</f>
        <v>12845</v>
      </c>
      <c r="H77" s="3">
        <f>'02_Raw_Google'!G77</f>
        <v>836</v>
      </c>
      <c r="I77" s="3">
        <f>0</f>
        <v>0</v>
      </c>
      <c r="J77" s="3">
        <f>'02_Raw_Google'!H77</f>
        <v>10</v>
      </c>
      <c r="K77" s="3">
        <f>'02_Raw_Google'!I77</f>
        <v>942.38</v>
      </c>
    </row>
    <row r="78" spans="1:11">
      <c r="A78" s="4">
        <f>'02_Raw_Google'!A78</f>
        <v>46039</v>
      </c>
      <c r="B78" s="3" t="str">
        <f t="shared" si="1"/>
        <v>Google</v>
      </c>
      <c r="C78" s="3" t="str">
        <f>'02_Raw_Google'!B78</f>
        <v>Search_Generic</v>
      </c>
      <c r="D78" s="3" t="str">
        <f>'02_Raw_Google'!C78</f>
        <v>Group_1</v>
      </c>
      <c r="E78" s="3" t="str">
        <f>'02_Raw_Google'!D78</f>
        <v>Headline_B</v>
      </c>
      <c r="F78" s="3">
        <f>'02_Raw_Google'!E78</f>
        <v>196.16</v>
      </c>
      <c r="G78" s="3">
        <f>'02_Raw_Google'!F78</f>
        <v>5230</v>
      </c>
      <c r="H78" s="3">
        <f>'02_Raw_Google'!G78</f>
        <v>469</v>
      </c>
      <c r="I78" s="3">
        <f>0</f>
        <v>0</v>
      </c>
      <c r="J78" s="3">
        <f>'02_Raw_Google'!H78</f>
        <v>32</v>
      </c>
      <c r="K78" s="3">
        <f>'02_Raw_Google'!I78</f>
        <v>431.51</v>
      </c>
    </row>
    <row r="79" spans="1:11">
      <c r="A79" s="4">
        <f>'02_Raw_Google'!A79</f>
        <v>46040</v>
      </c>
      <c r="B79" s="3" t="str">
        <f t="shared" si="1"/>
        <v>Google</v>
      </c>
      <c r="C79" s="3" t="str">
        <f>'02_Raw_Google'!B79</f>
        <v>Search_Brand</v>
      </c>
      <c r="D79" s="3" t="str">
        <f>'02_Raw_Google'!C79</f>
        <v>Group_2</v>
      </c>
      <c r="E79" s="3" t="str">
        <f>'02_Raw_Google'!D79</f>
        <v>Headline_B</v>
      </c>
      <c r="F79" s="3">
        <f>'02_Raw_Google'!E79</f>
        <v>114.18</v>
      </c>
      <c r="G79" s="3">
        <f>'02_Raw_Google'!F79</f>
        <v>9620</v>
      </c>
      <c r="H79" s="3">
        <f>'02_Raw_Google'!G79</f>
        <v>348</v>
      </c>
      <c r="I79" s="3">
        <f>0</f>
        <v>0</v>
      </c>
      <c r="J79" s="3">
        <f>'02_Raw_Google'!H79</f>
        <v>30</v>
      </c>
      <c r="K79" s="3">
        <f>'02_Raw_Google'!I79</f>
        <v>872.95</v>
      </c>
    </row>
    <row r="80" spans="1:11">
      <c r="A80" s="4">
        <f>'02_Raw_Google'!A80</f>
        <v>46041</v>
      </c>
      <c r="B80" s="3" t="str">
        <f t="shared" si="1"/>
        <v>Google</v>
      </c>
      <c r="C80" s="3" t="str">
        <f>'02_Raw_Google'!B80</f>
        <v>Search_Generic</v>
      </c>
      <c r="D80" s="3" t="str">
        <f>'02_Raw_Google'!C80</f>
        <v>Group_3</v>
      </c>
      <c r="E80" s="3" t="str">
        <f>'02_Raw_Google'!D80</f>
        <v>Headline_B</v>
      </c>
      <c r="F80" s="3">
        <f>'02_Raw_Google'!E80</f>
        <v>98.16</v>
      </c>
      <c r="G80" s="3">
        <f>'02_Raw_Google'!F80</f>
        <v>8486</v>
      </c>
      <c r="H80" s="3">
        <f>'02_Raw_Google'!G80</f>
        <v>331</v>
      </c>
      <c r="I80" s="3">
        <f>0</f>
        <v>0</v>
      </c>
      <c r="J80" s="3">
        <f>'02_Raw_Google'!H80</f>
        <v>39</v>
      </c>
      <c r="K80" s="3">
        <f>'02_Raw_Google'!I80</f>
        <v>400.27</v>
      </c>
    </row>
    <row r="81" spans="1:11">
      <c r="A81" s="4">
        <f>'02_Raw_Google'!A81</f>
        <v>46042</v>
      </c>
      <c r="B81" s="3" t="str">
        <f t="shared" si="1"/>
        <v>Google</v>
      </c>
      <c r="C81" s="3" t="str">
        <f>'02_Raw_Google'!B81</f>
        <v>PMax</v>
      </c>
      <c r="D81" s="3" t="str">
        <f>'02_Raw_Google'!C81</f>
        <v>Group_1</v>
      </c>
      <c r="E81" s="3" t="str">
        <f>'02_Raw_Google'!D81</f>
        <v>Headline_C</v>
      </c>
      <c r="F81" s="3">
        <f>'02_Raw_Google'!E81</f>
        <v>240.28</v>
      </c>
      <c r="G81" s="3">
        <f>'02_Raw_Google'!F81</f>
        <v>5032</v>
      </c>
      <c r="H81" s="3">
        <f>'02_Raw_Google'!G81</f>
        <v>373</v>
      </c>
      <c r="I81" s="3">
        <f>0</f>
        <v>0</v>
      </c>
      <c r="J81" s="3">
        <f>'02_Raw_Google'!H81</f>
        <v>31</v>
      </c>
      <c r="K81" s="3">
        <f>'02_Raw_Google'!I81</f>
        <v>308.37</v>
      </c>
    </row>
    <row r="82" spans="1:11">
      <c r="A82" s="4">
        <f>'02_Raw_Google'!A82</f>
        <v>46043</v>
      </c>
      <c r="B82" s="3" t="str">
        <f t="shared" si="1"/>
        <v>Google</v>
      </c>
      <c r="C82" s="3" t="str">
        <f>'02_Raw_Google'!B82</f>
        <v>Search_Generic</v>
      </c>
      <c r="D82" s="3" t="str">
        <f>'02_Raw_Google'!C82</f>
        <v>Group_2</v>
      </c>
      <c r="E82" s="3" t="str">
        <f>'02_Raw_Google'!D82</f>
        <v>Headline_C</v>
      </c>
      <c r="F82" s="3">
        <f>'02_Raw_Google'!E82</f>
        <v>58.33</v>
      </c>
      <c r="G82" s="3">
        <f>'02_Raw_Google'!F82</f>
        <v>11922</v>
      </c>
      <c r="H82" s="3">
        <f>'02_Raw_Google'!G82</f>
        <v>40</v>
      </c>
      <c r="I82" s="3">
        <f>0</f>
        <v>0</v>
      </c>
      <c r="J82" s="3">
        <f>'02_Raw_Google'!H82</f>
        <v>18</v>
      </c>
      <c r="K82" s="3">
        <f>'02_Raw_Google'!I82</f>
        <v>1005.16</v>
      </c>
    </row>
    <row r="83" spans="1:11">
      <c r="A83" s="4">
        <f>'02_Raw_Google'!A83</f>
        <v>46044</v>
      </c>
      <c r="B83" s="3" t="str">
        <f t="shared" si="1"/>
        <v>Google</v>
      </c>
      <c r="C83" s="3" t="str">
        <f>'02_Raw_Google'!B83</f>
        <v>PMax</v>
      </c>
      <c r="D83" s="3" t="str">
        <f>'02_Raw_Google'!C83</f>
        <v>Group_1</v>
      </c>
      <c r="E83" s="3" t="str">
        <f>'02_Raw_Google'!D83</f>
        <v>Headline_A</v>
      </c>
      <c r="F83" s="3">
        <f>'02_Raw_Google'!E83</f>
        <v>36.229999999999997</v>
      </c>
      <c r="G83" s="3">
        <f>'02_Raw_Google'!F83</f>
        <v>8807</v>
      </c>
      <c r="H83" s="3">
        <f>'02_Raw_Google'!G83</f>
        <v>91</v>
      </c>
      <c r="I83" s="3">
        <f>0</f>
        <v>0</v>
      </c>
      <c r="J83" s="3">
        <f>'02_Raw_Google'!H83</f>
        <v>36</v>
      </c>
      <c r="K83" s="3">
        <f>'02_Raw_Google'!I83</f>
        <v>542.80999999999995</v>
      </c>
    </row>
    <row r="84" spans="1:11">
      <c r="A84" s="4">
        <f>'02_Raw_Google'!A84</f>
        <v>46045</v>
      </c>
      <c r="B84" s="3" t="str">
        <f t="shared" si="1"/>
        <v>Google</v>
      </c>
      <c r="C84" s="3" t="str">
        <f>'02_Raw_Google'!B84</f>
        <v>Search_Brand</v>
      </c>
      <c r="D84" s="3" t="str">
        <f>'02_Raw_Google'!C84</f>
        <v>Group_2</v>
      </c>
      <c r="E84" s="3" t="str">
        <f>'02_Raw_Google'!D84</f>
        <v>Headline_A</v>
      </c>
      <c r="F84" s="3">
        <f>'02_Raw_Google'!E84</f>
        <v>196.18</v>
      </c>
      <c r="G84" s="3">
        <f>'02_Raw_Google'!F84</f>
        <v>2321</v>
      </c>
      <c r="H84" s="3">
        <f>'02_Raw_Google'!G84</f>
        <v>874</v>
      </c>
      <c r="I84" s="3">
        <f>0</f>
        <v>0</v>
      </c>
      <c r="J84" s="3">
        <f>'02_Raw_Google'!H84</f>
        <v>2</v>
      </c>
      <c r="K84" s="3">
        <f>'02_Raw_Google'!I84</f>
        <v>918.17</v>
      </c>
    </row>
    <row r="85" spans="1:11">
      <c r="A85" s="4">
        <f>'02_Raw_Google'!A85</f>
        <v>46046</v>
      </c>
      <c r="B85" s="3" t="str">
        <f t="shared" si="1"/>
        <v>Google</v>
      </c>
      <c r="C85" s="3" t="str">
        <f>'02_Raw_Google'!B85</f>
        <v>Search_Generic</v>
      </c>
      <c r="D85" s="3" t="str">
        <f>'02_Raw_Google'!C85</f>
        <v>Group_3</v>
      </c>
      <c r="E85" s="3" t="str">
        <f>'02_Raw_Google'!D85</f>
        <v>Headline_C</v>
      </c>
      <c r="F85" s="3">
        <f>'02_Raw_Google'!E85</f>
        <v>31.04</v>
      </c>
      <c r="G85" s="3">
        <f>'02_Raw_Google'!F85</f>
        <v>9818</v>
      </c>
      <c r="H85" s="3">
        <f>'02_Raw_Google'!G85</f>
        <v>255</v>
      </c>
      <c r="I85" s="3">
        <f>0</f>
        <v>0</v>
      </c>
      <c r="J85" s="3">
        <f>'02_Raw_Google'!H85</f>
        <v>14</v>
      </c>
      <c r="K85" s="3">
        <f>'02_Raw_Google'!I85</f>
        <v>695.21</v>
      </c>
    </row>
    <row r="86" spans="1:11">
      <c r="A86" s="4">
        <f>'02_Raw_Google'!A86</f>
        <v>46047</v>
      </c>
      <c r="B86" s="3" t="str">
        <f t="shared" si="1"/>
        <v>Google</v>
      </c>
      <c r="C86" s="3" t="str">
        <f>'02_Raw_Google'!B86</f>
        <v>Search_Brand</v>
      </c>
      <c r="D86" s="3" t="str">
        <f>'02_Raw_Google'!C86</f>
        <v>Group_3</v>
      </c>
      <c r="E86" s="3" t="str">
        <f>'02_Raw_Google'!D86</f>
        <v>Headline_C</v>
      </c>
      <c r="F86" s="3">
        <f>'02_Raw_Google'!E86</f>
        <v>211.71</v>
      </c>
      <c r="G86" s="3">
        <f>'02_Raw_Google'!F86</f>
        <v>13814</v>
      </c>
      <c r="H86" s="3">
        <f>'02_Raw_Google'!G86</f>
        <v>182</v>
      </c>
      <c r="I86" s="3">
        <f>0</f>
        <v>0</v>
      </c>
      <c r="J86" s="3">
        <f>'02_Raw_Google'!H86</f>
        <v>13</v>
      </c>
      <c r="K86" s="3">
        <f>'02_Raw_Google'!I86</f>
        <v>1477.78</v>
      </c>
    </row>
    <row r="87" spans="1:11">
      <c r="A87" s="4">
        <f>'02_Raw_Google'!A87</f>
        <v>46048</v>
      </c>
      <c r="B87" s="3" t="str">
        <f t="shared" si="1"/>
        <v>Google</v>
      </c>
      <c r="C87" s="3" t="str">
        <f>'02_Raw_Google'!B87</f>
        <v>PMax</v>
      </c>
      <c r="D87" s="3" t="str">
        <f>'02_Raw_Google'!C87</f>
        <v>Group_1</v>
      </c>
      <c r="E87" s="3" t="str">
        <f>'02_Raw_Google'!D87</f>
        <v>Headline_C</v>
      </c>
      <c r="F87" s="3">
        <f>'02_Raw_Google'!E87</f>
        <v>117.74</v>
      </c>
      <c r="G87" s="3">
        <f>'02_Raw_Google'!F87</f>
        <v>2300</v>
      </c>
      <c r="H87" s="3">
        <f>'02_Raw_Google'!G87</f>
        <v>740</v>
      </c>
      <c r="I87" s="3">
        <f>0</f>
        <v>0</v>
      </c>
      <c r="J87" s="3">
        <f>'02_Raw_Google'!H87</f>
        <v>29</v>
      </c>
      <c r="K87" s="3">
        <f>'02_Raw_Google'!I87</f>
        <v>292.39999999999998</v>
      </c>
    </row>
    <row r="88" spans="1:11">
      <c r="A88" s="4">
        <f>'02_Raw_Google'!A88</f>
        <v>46049</v>
      </c>
      <c r="B88" s="3" t="str">
        <f t="shared" si="1"/>
        <v>Google</v>
      </c>
      <c r="C88" s="3" t="str">
        <f>'02_Raw_Google'!B88</f>
        <v>PMax</v>
      </c>
      <c r="D88" s="3" t="str">
        <f>'02_Raw_Google'!C88</f>
        <v>Group_2</v>
      </c>
      <c r="E88" s="3" t="str">
        <f>'02_Raw_Google'!D88</f>
        <v>Headline_B</v>
      </c>
      <c r="F88" s="3">
        <f>'02_Raw_Google'!E88</f>
        <v>230.15</v>
      </c>
      <c r="G88" s="3">
        <f>'02_Raw_Google'!F88</f>
        <v>7537</v>
      </c>
      <c r="H88" s="3">
        <f>'02_Raw_Google'!G88</f>
        <v>593</v>
      </c>
      <c r="I88" s="3">
        <f>0</f>
        <v>0</v>
      </c>
      <c r="J88" s="3">
        <f>'02_Raw_Google'!H88</f>
        <v>12</v>
      </c>
      <c r="K88" s="3">
        <f>'02_Raw_Google'!I88</f>
        <v>739.73</v>
      </c>
    </row>
    <row r="89" spans="1:11">
      <c r="A89" s="4">
        <f>'02_Raw_Google'!A89</f>
        <v>46050</v>
      </c>
      <c r="B89" s="3" t="str">
        <f t="shared" si="1"/>
        <v>Google</v>
      </c>
      <c r="C89" s="3" t="str">
        <f>'02_Raw_Google'!B89</f>
        <v>PMax</v>
      </c>
      <c r="D89" s="3" t="str">
        <f>'02_Raw_Google'!C89</f>
        <v>Group_1</v>
      </c>
      <c r="E89" s="3" t="str">
        <f>'02_Raw_Google'!D89</f>
        <v>Headline_B</v>
      </c>
      <c r="F89" s="3">
        <f>'02_Raw_Google'!E89</f>
        <v>184.56</v>
      </c>
      <c r="G89" s="3">
        <f>'02_Raw_Google'!F89</f>
        <v>4094</v>
      </c>
      <c r="H89" s="3">
        <f>'02_Raw_Google'!G89</f>
        <v>801</v>
      </c>
      <c r="I89" s="3">
        <f>0</f>
        <v>0</v>
      </c>
      <c r="J89" s="3">
        <f>'02_Raw_Google'!H89</f>
        <v>39</v>
      </c>
      <c r="K89" s="3">
        <f>'02_Raw_Google'!I89</f>
        <v>1046.25</v>
      </c>
    </row>
    <row r="90" spans="1:11">
      <c r="A90" s="4">
        <f>'02_Raw_Google'!A90</f>
        <v>46051</v>
      </c>
      <c r="B90" s="3" t="str">
        <f t="shared" si="1"/>
        <v>Google</v>
      </c>
      <c r="C90" s="3" t="str">
        <f>'02_Raw_Google'!B90</f>
        <v>Search_Brand</v>
      </c>
      <c r="D90" s="3" t="str">
        <f>'02_Raw_Google'!C90</f>
        <v>Group_1</v>
      </c>
      <c r="E90" s="3" t="str">
        <f>'02_Raw_Google'!D90</f>
        <v>Headline_C</v>
      </c>
      <c r="F90" s="3">
        <f>'02_Raw_Google'!E90</f>
        <v>158.44999999999999</v>
      </c>
      <c r="G90" s="3">
        <f>'02_Raw_Google'!F90</f>
        <v>5885</v>
      </c>
      <c r="H90" s="3">
        <f>'02_Raw_Google'!G90</f>
        <v>600</v>
      </c>
      <c r="I90" s="3">
        <f>0</f>
        <v>0</v>
      </c>
      <c r="J90" s="3">
        <f>'02_Raw_Google'!H90</f>
        <v>2</v>
      </c>
      <c r="K90" s="3">
        <f>'02_Raw_Google'!I90</f>
        <v>641.66999999999996</v>
      </c>
    </row>
    <row r="91" spans="1:11">
      <c r="A91" s="4">
        <f>'02_Raw_Google'!A91</f>
        <v>46052</v>
      </c>
      <c r="B91" s="3" t="str">
        <f t="shared" si="1"/>
        <v>Google</v>
      </c>
      <c r="C91" s="3" t="str">
        <f>'02_Raw_Google'!B91</f>
        <v>Search_Brand</v>
      </c>
      <c r="D91" s="3" t="str">
        <f>'02_Raw_Google'!C91</f>
        <v>Group_2</v>
      </c>
      <c r="E91" s="3" t="str">
        <f>'02_Raw_Google'!D91</f>
        <v>Headline_B</v>
      </c>
      <c r="F91" s="3">
        <f>'02_Raw_Google'!E91</f>
        <v>238.09</v>
      </c>
      <c r="G91" s="3">
        <f>'02_Raw_Google'!F91</f>
        <v>3219</v>
      </c>
      <c r="H91" s="3">
        <f>'02_Raw_Google'!G91</f>
        <v>613</v>
      </c>
      <c r="I91" s="3">
        <f>0</f>
        <v>0</v>
      </c>
      <c r="J91" s="3">
        <f>'02_Raw_Google'!H91</f>
        <v>32</v>
      </c>
      <c r="K91" s="3">
        <f>'02_Raw_Google'!I91</f>
        <v>1464.07</v>
      </c>
    </row>
    <row r="92" spans="1:11">
      <c r="A92" s="4">
        <f>'02_Raw_Google'!A92</f>
        <v>46023</v>
      </c>
      <c r="B92" s="3" t="str">
        <f t="shared" si="1"/>
        <v>Google</v>
      </c>
      <c r="C92" s="3" t="str">
        <f>'02_Raw_Google'!B92</f>
        <v>Search_Brand</v>
      </c>
      <c r="D92" s="3" t="str">
        <f>'02_Raw_Google'!C92</f>
        <v>Group_2</v>
      </c>
      <c r="E92" s="3" t="str">
        <f>'02_Raw_Google'!D92</f>
        <v>Headline_B</v>
      </c>
      <c r="F92" s="3">
        <f>'02_Raw_Google'!E92</f>
        <v>108.21</v>
      </c>
      <c r="G92" s="3">
        <f>'02_Raw_Google'!F92</f>
        <v>9926</v>
      </c>
      <c r="H92" s="3">
        <f>'02_Raw_Google'!G92</f>
        <v>689</v>
      </c>
      <c r="I92" s="3">
        <f>0</f>
        <v>0</v>
      </c>
      <c r="J92" s="3">
        <f>'02_Raw_Google'!H92</f>
        <v>13</v>
      </c>
      <c r="K92" s="3">
        <f>'02_Raw_Google'!I92</f>
        <v>1105.08</v>
      </c>
    </row>
    <row r="93" spans="1:11">
      <c r="A93" s="4">
        <f>'02_Raw_Google'!A93</f>
        <v>46024</v>
      </c>
      <c r="B93" s="3" t="str">
        <f t="shared" si="1"/>
        <v>Google</v>
      </c>
      <c r="C93" s="3" t="str">
        <f>'02_Raw_Google'!B93</f>
        <v>Search_Brand</v>
      </c>
      <c r="D93" s="3" t="str">
        <f>'02_Raw_Google'!C93</f>
        <v>Group_2</v>
      </c>
      <c r="E93" s="3" t="str">
        <f>'02_Raw_Google'!D93</f>
        <v>Headline_A</v>
      </c>
      <c r="F93" s="3">
        <f>'02_Raw_Google'!E93</f>
        <v>239.21</v>
      </c>
      <c r="G93" s="3">
        <f>'02_Raw_Google'!F93</f>
        <v>3842</v>
      </c>
      <c r="H93" s="3">
        <f>'02_Raw_Google'!G93</f>
        <v>890</v>
      </c>
      <c r="I93" s="3">
        <f>0</f>
        <v>0</v>
      </c>
      <c r="J93" s="3">
        <f>'02_Raw_Google'!H93</f>
        <v>27</v>
      </c>
      <c r="K93" s="3">
        <f>'02_Raw_Google'!I93</f>
        <v>1012.92</v>
      </c>
    </row>
    <row r="94" spans="1:11">
      <c r="A94" s="4">
        <f>'02_Raw_Google'!A94</f>
        <v>46025</v>
      </c>
      <c r="B94" s="3" t="str">
        <f t="shared" si="1"/>
        <v>Google</v>
      </c>
      <c r="C94" s="3" t="str">
        <f>'02_Raw_Google'!B94</f>
        <v>PMax</v>
      </c>
      <c r="D94" s="3" t="str">
        <f>'02_Raw_Google'!C94</f>
        <v>Group_3</v>
      </c>
      <c r="E94" s="3" t="str">
        <f>'02_Raw_Google'!D94</f>
        <v>Headline_C</v>
      </c>
      <c r="F94" s="3">
        <f>'02_Raw_Google'!E94</f>
        <v>46.73</v>
      </c>
      <c r="G94" s="3">
        <f>'02_Raw_Google'!F94</f>
        <v>5297</v>
      </c>
      <c r="H94" s="3">
        <f>'02_Raw_Google'!G94</f>
        <v>604</v>
      </c>
      <c r="I94" s="3">
        <f>0</f>
        <v>0</v>
      </c>
      <c r="J94" s="3">
        <f>'02_Raw_Google'!H94</f>
        <v>17</v>
      </c>
      <c r="K94" s="3">
        <f>'02_Raw_Google'!I94</f>
        <v>1155.02</v>
      </c>
    </row>
    <row r="95" spans="1:11">
      <c r="A95" s="4">
        <f>'02_Raw_Google'!A95</f>
        <v>46026</v>
      </c>
      <c r="B95" s="3" t="str">
        <f t="shared" si="1"/>
        <v>Google</v>
      </c>
      <c r="C95" s="3" t="str">
        <f>'02_Raw_Google'!B95</f>
        <v>PMax</v>
      </c>
      <c r="D95" s="3" t="str">
        <f>'02_Raw_Google'!C95</f>
        <v>Group_1</v>
      </c>
      <c r="E95" s="3" t="str">
        <f>'02_Raw_Google'!D95</f>
        <v>Headline_C</v>
      </c>
      <c r="F95" s="3">
        <f>'02_Raw_Google'!E95</f>
        <v>128.68</v>
      </c>
      <c r="G95" s="3">
        <f>'02_Raw_Google'!F95</f>
        <v>2266</v>
      </c>
      <c r="H95" s="3">
        <f>'02_Raw_Google'!G95</f>
        <v>339</v>
      </c>
      <c r="I95" s="3">
        <f>0</f>
        <v>0</v>
      </c>
      <c r="J95" s="3">
        <f>'02_Raw_Google'!H95</f>
        <v>31</v>
      </c>
      <c r="K95" s="3">
        <f>'02_Raw_Google'!I95</f>
        <v>1432.76</v>
      </c>
    </row>
    <row r="96" spans="1:11">
      <c r="A96" s="4">
        <f>'02_Raw_Google'!A96</f>
        <v>46027</v>
      </c>
      <c r="B96" s="3" t="str">
        <f t="shared" si="1"/>
        <v>Google</v>
      </c>
      <c r="C96" s="3" t="str">
        <f>'02_Raw_Google'!B96</f>
        <v>Search_Generic</v>
      </c>
      <c r="D96" s="3" t="str">
        <f>'02_Raw_Google'!C96</f>
        <v>Group_1</v>
      </c>
      <c r="E96" s="3" t="str">
        <f>'02_Raw_Google'!D96</f>
        <v>Headline_B</v>
      </c>
      <c r="F96" s="3">
        <f>'02_Raw_Google'!E96</f>
        <v>78.430000000000007</v>
      </c>
      <c r="G96" s="3">
        <f>'02_Raw_Google'!F96</f>
        <v>4361</v>
      </c>
      <c r="H96" s="3">
        <f>'02_Raw_Google'!G96</f>
        <v>272</v>
      </c>
      <c r="I96" s="3">
        <f>0</f>
        <v>0</v>
      </c>
      <c r="J96" s="3">
        <f>'02_Raw_Google'!H96</f>
        <v>34</v>
      </c>
      <c r="K96" s="3">
        <f>'02_Raw_Google'!I96</f>
        <v>1369.1</v>
      </c>
    </row>
    <row r="97" spans="1:11">
      <c r="A97" s="4">
        <f>'02_Raw_Google'!A97</f>
        <v>46028</v>
      </c>
      <c r="B97" s="3" t="str">
        <f t="shared" si="1"/>
        <v>Google</v>
      </c>
      <c r="C97" s="3" t="str">
        <f>'02_Raw_Google'!B97</f>
        <v>Search_Generic</v>
      </c>
      <c r="D97" s="3" t="str">
        <f>'02_Raw_Google'!C97</f>
        <v>Group_3</v>
      </c>
      <c r="E97" s="3" t="str">
        <f>'02_Raw_Google'!D97</f>
        <v>Headline_C</v>
      </c>
      <c r="F97" s="3">
        <f>'02_Raw_Google'!E97</f>
        <v>141.86000000000001</v>
      </c>
      <c r="G97" s="3">
        <f>'02_Raw_Google'!F97</f>
        <v>1414</v>
      </c>
      <c r="H97" s="3">
        <f>'02_Raw_Google'!G97</f>
        <v>522</v>
      </c>
      <c r="I97" s="3">
        <f>0</f>
        <v>0</v>
      </c>
      <c r="J97" s="3">
        <f>'02_Raw_Google'!H97</f>
        <v>24</v>
      </c>
      <c r="K97" s="3">
        <f>'02_Raw_Google'!I97</f>
        <v>1108.49</v>
      </c>
    </row>
    <row r="98" spans="1:11">
      <c r="A98" s="4">
        <f>'02_Raw_Google'!A98</f>
        <v>46029</v>
      </c>
      <c r="B98" s="3" t="str">
        <f t="shared" si="1"/>
        <v>Google</v>
      </c>
      <c r="C98" s="3" t="str">
        <f>'02_Raw_Google'!B98</f>
        <v>Search_Brand</v>
      </c>
      <c r="D98" s="3" t="str">
        <f>'02_Raw_Google'!C98</f>
        <v>Group_2</v>
      </c>
      <c r="E98" s="3" t="str">
        <f>'02_Raw_Google'!D98</f>
        <v>Headline_A</v>
      </c>
      <c r="F98" s="3">
        <f>'02_Raw_Google'!E98</f>
        <v>53.07</v>
      </c>
      <c r="G98" s="3">
        <f>'02_Raw_Google'!F98</f>
        <v>6192</v>
      </c>
      <c r="H98" s="3">
        <f>'02_Raw_Google'!G98</f>
        <v>395</v>
      </c>
      <c r="I98" s="3">
        <f>0</f>
        <v>0</v>
      </c>
      <c r="J98" s="3">
        <f>'02_Raw_Google'!H98</f>
        <v>35</v>
      </c>
      <c r="K98" s="3">
        <f>'02_Raw_Google'!I98</f>
        <v>1143.81</v>
      </c>
    </row>
    <row r="99" spans="1:11">
      <c r="A99" s="4">
        <f>'02_Raw_Google'!A99</f>
        <v>46030</v>
      </c>
      <c r="B99" s="3" t="str">
        <f t="shared" si="1"/>
        <v>Google</v>
      </c>
      <c r="C99" s="3" t="str">
        <f>'02_Raw_Google'!B99</f>
        <v>PMax</v>
      </c>
      <c r="D99" s="3" t="str">
        <f>'02_Raw_Google'!C99</f>
        <v>Group_3</v>
      </c>
      <c r="E99" s="3" t="str">
        <f>'02_Raw_Google'!D99</f>
        <v>Headline_A</v>
      </c>
      <c r="F99" s="3">
        <f>'02_Raw_Google'!E99</f>
        <v>212.76</v>
      </c>
      <c r="G99" s="3">
        <f>'02_Raw_Google'!F99</f>
        <v>8493</v>
      </c>
      <c r="H99" s="3">
        <f>'02_Raw_Google'!G99</f>
        <v>359</v>
      </c>
      <c r="I99" s="3">
        <f>0</f>
        <v>0</v>
      </c>
      <c r="J99" s="3">
        <f>'02_Raw_Google'!H99</f>
        <v>6</v>
      </c>
      <c r="K99" s="3">
        <f>'02_Raw_Google'!I99</f>
        <v>287.20999999999998</v>
      </c>
    </row>
    <row r="100" spans="1:11">
      <c r="A100" s="4">
        <f>'02_Raw_Google'!A100</f>
        <v>46031</v>
      </c>
      <c r="B100" s="3" t="str">
        <f t="shared" si="1"/>
        <v>Google</v>
      </c>
      <c r="C100" s="3" t="str">
        <f>'02_Raw_Google'!B100</f>
        <v>PMax</v>
      </c>
      <c r="D100" s="3" t="str">
        <f>'02_Raw_Google'!C100</f>
        <v>Group_3</v>
      </c>
      <c r="E100" s="3" t="str">
        <f>'02_Raw_Google'!D100</f>
        <v>Headline_A</v>
      </c>
      <c r="F100" s="3">
        <f>'02_Raw_Google'!E100</f>
        <v>213.91</v>
      </c>
      <c r="G100" s="3">
        <f>'02_Raw_Google'!F100</f>
        <v>10174</v>
      </c>
      <c r="H100" s="3">
        <f>'02_Raw_Google'!G100</f>
        <v>136</v>
      </c>
      <c r="I100" s="3">
        <f>0</f>
        <v>0</v>
      </c>
      <c r="J100" s="3">
        <f>'02_Raw_Google'!H100</f>
        <v>19</v>
      </c>
      <c r="K100" s="3">
        <f>'02_Raw_Google'!I100</f>
        <v>225.97</v>
      </c>
    </row>
    <row r="101" spans="1:11">
      <c r="A101" s="4">
        <f>'02_Raw_Google'!A101</f>
        <v>46032</v>
      </c>
      <c r="B101" s="3" t="str">
        <f t="shared" si="1"/>
        <v>Google</v>
      </c>
      <c r="C101" s="3" t="str">
        <f>'02_Raw_Google'!B101</f>
        <v>PMax</v>
      </c>
      <c r="D101" s="3" t="str">
        <f>'02_Raw_Google'!C101</f>
        <v>Group_3</v>
      </c>
      <c r="E101" s="3" t="str">
        <f>'02_Raw_Google'!D101</f>
        <v>Headline_C</v>
      </c>
      <c r="F101" s="3">
        <f>'02_Raw_Google'!E101</f>
        <v>239.48</v>
      </c>
      <c r="G101" s="3">
        <f>'02_Raw_Google'!F101</f>
        <v>4023</v>
      </c>
      <c r="H101" s="3">
        <f>'02_Raw_Google'!G101</f>
        <v>255</v>
      </c>
      <c r="I101" s="3">
        <f>0</f>
        <v>0</v>
      </c>
      <c r="J101" s="3">
        <f>'02_Raw_Google'!H101</f>
        <v>30</v>
      </c>
      <c r="K101" s="3">
        <f>'02_Raw_Google'!I101</f>
        <v>890.68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01FC-151B-429B-A7E8-FB73196FC4F8}">
  <dimension ref="A1"/>
  <sheetViews>
    <sheetView topLeftCell="A136" workbookViewId="0">
      <selection activeCell="J4" sqref="J4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A1852-2B12-43BF-BB8E-8D3D204CFD59}">
  <dimension ref="A1:P203"/>
  <sheetViews>
    <sheetView workbookViewId="0">
      <selection sqref="A1:P1"/>
    </sheetView>
  </sheetViews>
  <sheetFormatPr defaultRowHeight="14.4"/>
  <cols>
    <col min="1" max="1" width="9.33203125" bestFit="1" customWidth="1"/>
    <col min="2" max="2" width="7.77734375" bestFit="1" customWidth="1"/>
    <col min="3" max="3" width="14.44140625" bestFit="1" customWidth="1"/>
    <col min="4" max="4" width="10.6640625" bestFit="1" customWidth="1"/>
    <col min="5" max="5" width="9.6640625" bestFit="1" customWidth="1"/>
    <col min="6" max="6" width="9.109375" bestFit="1" customWidth="1"/>
    <col min="7" max="7" width="11.21875" bestFit="1" customWidth="1"/>
    <col min="8" max="8" width="6.21875" bestFit="1" customWidth="1"/>
    <col min="9" max="9" width="9.77734375" bestFit="1" customWidth="1"/>
    <col min="10" max="10" width="9.5546875" bestFit="1" customWidth="1"/>
    <col min="11" max="11" width="8" bestFit="1" customWidth="1"/>
  </cols>
  <sheetData>
    <row r="1" spans="1:16">
      <c r="A1" s="7" t="s">
        <v>9</v>
      </c>
      <c r="B1" s="7" t="s">
        <v>31</v>
      </c>
      <c r="C1" s="7" t="s">
        <v>10</v>
      </c>
      <c r="D1" s="7" t="s">
        <v>156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157</v>
      </c>
      <c r="J1" s="7" t="s">
        <v>17</v>
      </c>
      <c r="K1" s="7" t="s">
        <v>33</v>
      </c>
      <c r="L1" s="7" t="s">
        <v>159</v>
      </c>
      <c r="M1" s="7" t="s">
        <v>160</v>
      </c>
      <c r="N1" s="7" t="s">
        <v>161</v>
      </c>
      <c r="O1" s="7" t="s">
        <v>162</v>
      </c>
      <c r="P1" s="7" t="s">
        <v>163</v>
      </c>
    </row>
    <row r="2" spans="1:16">
      <c r="A2" s="1">
        <f>'10_Clean_Meta'!A2</f>
        <v>46023</v>
      </c>
      <c r="B2" s="3" t="str">
        <f>'10_Clean_Meta'!B2</f>
        <v>Meta</v>
      </c>
      <c r="C2" s="3" t="str">
        <f>'10_Clean_Meta'!C2</f>
        <v>Campaign_C</v>
      </c>
      <c r="D2" s="3" t="str">
        <f>'10_Clean_Meta'!D2</f>
        <v>Retargeting</v>
      </c>
      <c r="E2" s="3" t="str">
        <f>'10_Clean_Meta'!E2</f>
        <v>Creative_1</v>
      </c>
      <c r="F2" s="3">
        <f>'10_Clean_Meta'!F2</f>
        <v>272.12</v>
      </c>
      <c r="G2" s="3">
        <f>'10_Clean_Meta'!G2</f>
        <v>16338</v>
      </c>
      <c r="H2" s="3">
        <f>'10_Clean_Meta'!H2</f>
        <v>778</v>
      </c>
      <c r="I2" s="3">
        <f>'10_Clean_Meta'!I2</f>
        <v>89</v>
      </c>
      <c r="J2" s="3">
        <f>'10_Clean_Meta'!J2</f>
        <v>5</v>
      </c>
      <c r="K2" s="3">
        <f>'10_Clean_Meta'!K2</f>
        <v>748.97</v>
      </c>
      <c r="L2">
        <f>H2/G2</f>
        <v>4.7619047619047616E-2</v>
      </c>
      <c r="M2" s="3">
        <f>J2/H2</f>
        <v>6.4267352185089976E-3</v>
      </c>
      <c r="N2" s="3">
        <f>F2/H2</f>
        <v>0.34976863753213366</v>
      </c>
      <c r="O2" s="3">
        <f>F2/J2</f>
        <v>54.423999999999999</v>
      </c>
      <c r="P2">
        <f>K2/F2</f>
        <v>2.7523519035719537</v>
      </c>
    </row>
    <row r="3" spans="1:16">
      <c r="A3" s="1">
        <f>'10_Clean_Meta'!A3</f>
        <v>46024</v>
      </c>
      <c r="B3" s="3" t="str">
        <f>'10_Clean_Meta'!B3</f>
        <v>Meta</v>
      </c>
      <c r="C3" s="3" t="str">
        <f>'10_Clean_Meta'!C3</f>
        <v>Campaign_A</v>
      </c>
      <c r="D3" s="3" t="str">
        <f>'10_Clean_Meta'!D3</f>
        <v>Retargeting</v>
      </c>
      <c r="E3" s="3" t="str">
        <f>'10_Clean_Meta'!E3</f>
        <v>Creative_3</v>
      </c>
      <c r="F3" s="3">
        <f>'10_Clean_Meta'!F3</f>
        <v>197.27</v>
      </c>
      <c r="G3" s="3">
        <f>'10_Clean_Meta'!G3</f>
        <v>3491</v>
      </c>
      <c r="H3" s="3">
        <f>'10_Clean_Meta'!H3</f>
        <v>1070</v>
      </c>
      <c r="I3" s="3">
        <f>'10_Clean_Meta'!I3</f>
        <v>79</v>
      </c>
      <c r="J3" s="3">
        <f>'10_Clean_Meta'!J3</f>
        <v>38</v>
      </c>
      <c r="K3" s="3">
        <f>'10_Clean_Meta'!K3</f>
        <v>1120.8</v>
      </c>
      <c r="L3">
        <f t="shared" ref="L3:L66" si="0">H3/G3</f>
        <v>0.30650243483242623</v>
      </c>
      <c r="M3" s="3">
        <f t="shared" ref="M3:M66" si="1">J3/H3</f>
        <v>3.5514018691588788E-2</v>
      </c>
      <c r="N3" s="3">
        <f t="shared" ref="N3:N66" si="2">F3/H3</f>
        <v>0.18436448598130842</v>
      </c>
      <c r="O3" s="3">
        <f t="shared" ref="O3:O66" si="3">F3/J3</f>
        <v>5.1913157894736841</v>
      </c>
      <c r="P3">
        <f t="shared" ref="P3:P66" si="4">K3/F3</f>
        <v>5.681553201196329</v>
      </c>
    </row>
    <row r="4" spans="1:16">
      <c r="A4" s="1">
        <f>'10_Clean_Meta'!A4</f>
        <v>46025</v>
      </c>
      <c r="B4" s="3" t="str">
        <f>'10_Clean_Meta'!B4</f>
        <v>Meta</v>
      </c>
      <c r="C4" s="3" t="str">
        <f>'10_Clean_Meta'!C4</f>
        <v>Campaign_C</v>
      </c>
      <c r="D4" s="3" t="str">
        <f>'10_Clean_Meta'!D4</f>
        <v>Retargeting</v>
      </c>
      <c r="E4" s="3" t="str">
        <f>'10_Clean_Meta'!E4</f>
        <v>Creative_2</v>
      </c>
      <c r="F4" s="3">
        <f>'10_Clean_Meta'!F4</f>
        <v>114.93</v>
      </c>
      <c r="G4" s="3">
        <f>'10_Clean_Meta'!G4</f>
        <v>16328</v>
      </c>
      <c r="H4" s="3">
        <f>'10_Clean_Meta'!H4</f>
        <v>810</v>
      </c>
      <c r="I4" s="3">
        <f>'10_Clean_Meta'!I4</f>
        <v>105</v>
      </c>
      <c r="J4" s="3">
        <f>'10_Clean_Meta'!J4</f>
        <v>3</v>
      </c>
      <c r="K4" s="3">
        <f>'10_Clean_Meta'!K4</f>
        <v>974.23</v>
      </c>
      <c r="L4">
        <f t="shared" si="0"/>
        <v>4.9608035276825085E-2</v>
      </c>
      <c r="M4" s="3">
        <f t="shared" si="1"/>
        <v>3.7037037037037038E-3</v>
      </c>
      <c r="N4" s="3">
        <f t="shared" si="2"/>
        <v>0.1418888888888889</v>
      </c>
      <c r="O4" s="3">
        <f t="shared" si="3"/>
        <v>38.31</v>
      </c>
      <c r="P4">
        <f t="shared" si="4"/>
        <v>8.4767249630209687</v>
      </c>
    </row>
    <row r="5" spans="1:16">
      <c r="A5" s="1">
        <f>'10_Clean_Meta'!A5</f>
        <v>46026</v>
      </c>
      <c r="B5" s="3" t="str">
        <f>'10_Clean_Meta'!B5</f>
        <v>Meta</v>
      </c>
      <c r="C5" s="3" t="str">
        <f>'10_Clean_Meta'!C5</f>
        <v>Campaign_C</v>
      </c>
      <c r="D5" s="3" t="str">
        <f>'10_Clean_Meta'!D5</f>
        <v>Prospecting</v>
      </c>
      <c r="E5" s="3" t="str">
        <f>'10_Clean_Meta'!E5</f>
        <v>Creative_1</v>
      </c>
      <c r="F5" s="3">
        <f>'10_Clean_Meta'!F5</f>
        <v>117.78</v>
      </c>
      <c r="G5" s="3">
        <f>'10_Clean_Meta'!G5</f>
        <v>15599</v>
      </c>
      <c r="H5" s="3">
        <f>'10_Clean_Meta'!H5</f>
        <v>725</v>
      </c>
      <c r="I5" s="3">
        <f>'10_Clean_Meta'!I5</f>
        <v>40</v>
      </c>
      <c r="J5" s="3">
        <f>'10_Clean_Meta'!J5</f>
        <v>53</v>
      </c>
      <c r="K5" s="3">
        <f>'10_Clean_Meta'!K5</f>
        <v>1211.06</v>
      </c>
      <c r="L5">
        <f t="shared" si="0"/>
        <v>4.6477338290916083E-2</v>
      </c>
      <c r="M5" s="3">
        <f t="shared" si="1"/>
        <v>7.3103448275862071E-2</v>
      </c>
      <c r="N5" s="3">
        <f t="shared" si="2"/>
        <v>0.16245517241379309</v>
      </c>
      <c r="O5" s="3">
        <f t="shared" si="3"/>
        <v>2.2222641509433965</v>
      </c>
      <c r="P5">
        <f t="shared" si="4"/>
        <v>10.282390898284937</v>
      </c>
    </row>
    <row r="6" spans="1:16">
      <c r="A6" s="1">
        <f>'10_Clean_Meta'!A6</f>
        <v>46027</v>
      </c>
      <c r="B6" s="3" t="str">
        <f>'10_Clean_Meta'!B6</f>
        <v>Meta</v>
      </c>
      <c r="C6" s="3" t="str">
        <f>'10_Clean_Meta'!C6</f>
        <v>Campaign_A</v>
      </c>
      <c r="D6" s="3" t="str">
        <f>'10_Clean_Meta'!D6</f>
        <v>Prospecting</v>
      </c>
      <c r="E6" s="3" t="str">
        <f>'10_Clean_Meta'!E6</f>
        <v>Creative_1</v>
      </c>
      <c r="F6" s="3">
        <f>'10_Clean_Meta'!F6</f>
        <v>223.27</v>
      </c>
      <c r="G6" s="3">
        <f>'10_Clean_Meta'!G6</f>
        <v>4051</v>
      </c>
      <c r="H6" s="3">
        <f>'10_Clean_Meta'!H6</f>
        <v>506</v>
      </c>
      <c r="I6" s="3">
        <f>'10_Clean_Meta'!I6</f>
        <v>103</v>
      </c>
      <c r="J6" s="3">
        <f>'10_Clean_Meta'!J6</f>
        <v>23</v>
      </c>
      <c r="K6" s="3">
        <f>'10_Clean_Meta'!K6</f>
        <v>860.57</v>
      </c>
      <c r="L6">
        <f t="shared" si="0"/>
        <v>0.12490743026413231</v>
      </c>
      <c r="M6" s="3">
        <f t="shared" si="1"/>
        <v>4.5454545454545456E-2</v>
      </c>
      <c r="N6" s="3">
        <f t="shared" si="2"/>
        <v>0.44124505928853758</v>
      </c>
      <c r="O6" s="3">
        <f t="shared" si="3"/>
        <v>9.7073913043478264</v>
      </c>
      <c r="P6">
        <f t="shared" si="4"/>
        <v>3.85439154387065</v>
      </c>
    </row>
    <row r="7" spans="1:16">
      <c r="A7" s="1">
        <f>'10_Clean_Meta'!A7</f>
        <v>46028</v>
      </c>
      <c r="B7" s="3" t="str">
        <f>'10_Clean_Meta'!B7</f>
        <v>Meta</v>
      </c>
      <c r="C7" s="3" t="str">
        <f>'10_Clean_Meta'!C7</f>
        <v>Campaign_A</v>
      </c>
      <c r="D7" s="3" t="str">
        <f>'10_Clean_Meta'!D7</f>
        <v>Prospecting</v>
      </c>
      <c r="E7" s="3" t="str">
        <f>'10_Clean_Meta'!E7</f>
        <v>Creative_1</v>
      </c>
      <c r="F7" s="3">
        <f>'10_Clean_Meta'!F7</f>
        <v>271.19</v>
      </c>
      <c r="G7" s="3">
        <f>'10_Clean_Meta'!G7</f>
        <v>16979</v>
      </c>
      <c r="H7" s="3">
        <f>'10_Clean_Meta'!H7</f>
        <v>969</v>
      </c>
      <c r="I7" s="3">
        <f>'10_Clean_Meta'!I7</f>
        <v>23</v>
      </c>
      <c r="J7" s="3">
        <f>'10_Clean_Meta'!J7</f>
        <v>37</v>
      </c>
      <c r="K7" s="3">
        <f>'10_Clean_Meta'!K7</f>
        <v>1425.57</v>
      </c>
      <c r="L7">
        <f t="shared" si="0"/>
        <v>5.7070498851522468E-2</v>
      </c>
      <c r="M7" s="3">
        <f t="shared" si="1"/>
        <v>3.8183694530443756E-2</v>
      </c>
      <c r="N7" s="3">
        <f t="shared" si="2"/>
        <v>0.27986584107327139</v>
      </c>
      <c r="O7" s="3">
        <f t="shared" si="3"/>
        <v>7.3294594594594598</v>
      </c>
      <c r="P7">
        <f t="shared" si="4"/>
        <v>5.2567203805450049</v>
      </c>
    </row>
    <row r="8" spans="1:16">
      <c r="A8" s="1">
        <f>'10_Clean_Meta'!A8</f>
        <v>46029</v>
      </c>
      <c r="B8" s="3" t="str">
        <f>'10_Clean_Meta'!B8</f>
        <v>Meta</v>
      </c>
      <c r="C8" s="3" t="str">
        <f>'10_Clean_Meta'!C8</f>
        <v>Campaign_C</v>
      </c>
      <c r="D8" s="3" t="str">
        <f>'10_Clean_Meta'!D8</f>
        <v>Prospecting</v>
      </c>
      <c r="E8" s="3" t="str">
        <f>'10_Clean_Meta'!E8</f>
        <v>Creative_3</v>
      </c>
      <c r="F8" s="3">
        <f>'10_Clean_Meta'!F8</f>
        <v>268.38</v>
      </c>
      <c r="G8" s="3">
        <f>'10_Clean_Meta'!G8</f>
        <v>17388</v>
      </c>
      <c r="H8" s="3">
        <f>'10_Clean_Meta'!H8</f>
        <v>241</v>
      </c>
      <c r="I8" s="3">
        <f>'10_Clean_Meta'!I8</f>
        <v>24</v>
      </c>
      <c r="J8" s="3">
        <f>'10_Clean_Meta'!J8</f>
        <v>53</v>
      </c>
      <c r="K8" s="3">
        <f>'10_Clean_Meta'!K8</f>
        <v>442.13</v>
      </c>
      <c r="L8">
        <f t="shared" si="0"/>
        <v>1.3860133425350817E-2</v>
      </c>
      <c r="M8" s="3">
        <f t="shared" si="1"/>
        <v>0.21991701244813278</v>
      </c>
      <c r="N8" s="3">
        <f t="shared" si="2"/>
        <v>1.113609958506224</v>
      </c>
      <c r="O8" s="3">
        <f t="shared" si="3"/>
        <v>5.0637735849056602</v>
      </c>
      <c r="P8">
        <f t="shared" si="4"/>
        <v>1.6474029361353306</v>
      </c>
    </row>
    <row r="9" spans="1:16">
      <c r="A9" s="1">
        <f>'10_Clean_Meta'!A9</f>
        <v>46030</v>
      </c>
      <c r="B9" s="3" t="str">
        <f>'10_Clean_Meta'!B9</f>
        <v>Meta</v>
      </c>
      <c r="C9" s="3" t="str">
        <f>'10_Clean_Meta'!C9</f>
        <v>Campaign_B</v>
      </c>
      <c r="D9" s="3" t="str">
        <f>'10_Clean_Meta'!D9</f>
        <v>Retargeting</v>
      </c>
      <c r="E9" s="3" t="str">
        <f>'10_Clean_Meta'!E9</f>
        <v>Creative_2</v>
      </c>
      <c r="F9" s="3">
        <f>'10_Clean_Meta'!F9</f>
        <v>238.37</v>
      </c>
      <c r="G9" s="3">
        <f>'10_Clean_Meta'!G9</f>
        <v>1876</v>
      </c>
      <c r="H9" s="3">
        <f>'10_Clean_Meta'!H9</f>
        <v>788</v>
      </c>
      <c r="I9" s="3">
        <f>'10_Clean_Meta'!I9</f>
        <v>61</v>
      </c>
      <c r="J9" s="3">
        <f>'10_Clean_Meta'!J9</f>
        <v>37</v>
      </c>
      <c r="K9" s="3">
        <f>'10_Clean_Meta'!K9</f>
        <v>1423.35</v>
      </c>
      <c r="L9">
        <f t="shared" si="0"/>
        <v>0.42004264392324092</v>
      </c>
      <c r="M9" s="3">
        <f t="shared" si="1"/>
        <v>4.6954314720812185E-2</v>
      </c>
      <c r="N9" s="3">
        <f t="shared" si="2"/>
        <v>0.30249999999999999</v>
      </c>
      <c r="O9" s="3">
        <f t="shared" si="3"/>
        <v>6.4424324324324322</v>
      </c>
      <c r="P9">
        <f t="shared" si="4"/>
        <v>5.9711792591349582</v>
      </c>
    </row>
    <row r="10" spans="1:16">
      <c r="A10" s="1">
        <f>'10_Clean_Meta'!A10</f>
        <v>46031</v>
      </c>
      <c r="B10" s="3" t="str">
        <f>'10_Clean_Meta'!B10</f>
        <v>Meta</v>
      </c>
      <c r="C10" s="3" t="str">
        <f>'10_Clean_Meta'!C10</f>
        <v>Campaign_C</v>
      </c>
      <c r="D10" s="3" t="str">
        <f>'10_Clean_Meta'!D10</f>
        <v>Prospecting</v>
      </c>
      <c r="E10" s="3" t="str">
        <f>'10_Clean_Meta'!E10</f>
        <v>Creative_1</v>
      </c>
      <c r="F10" s="3">
        <f>'10_Clean_Meta'!F10</f>
        <v>199.77</v>
      </c>
      <c r="G10" s="3">
        <f>'10_Clean_Meta'!G10</f>
        <v>5142</v>
      </c>
      <c r="H10" s="3">
        <f>'10_Clean_Meta'!H10</f>
        <v>1172</v>
      </c>
      <c r="I10" s="3">
        <f>'10_Clean_Meta'!I10</f>
        <v>22</v>
      </c>
      <c r="J10" s="3">
        <f>'10_Clean_Meta'!J10</f>
        <v>10</v>
      </c>
      <c r="K10" s="3">
        <f>'10_Clean_Meta'!K10</f>
        <v>882.16</v>
      </c>
      <c r="L10">
        <f t="shared" si="0"/>
        <v>0.2279268767016725</v>
      </c>
      <c r="M10" s="3">
        <f t="shared" si="1"/>
        <v>8.5324232081911266E-3</v>
      </c>
      <c r="N10" s="3">
        <f t="shared" si="2"/>
        <v>0.17045221843003414</v>
      </c>
      <c r="O10" s="3">
        <f t="shared" si="3"/>
        <v>19.977</v>
      </c>
      <c r="P10">
        <f t="shared" si="4"/>
        <v>4.4158782599989985</v>
      </c>
    </row>
    <row r="11" spans="1:16">
      <c r="A11" s="1">
        <f>'10_Clean_Meta'!A11</f>
        <v>46032</v>
      </c>
      <c r="B11" s="3" t="str">
        <f>'10_Clean_Meta'!B11</f>
        <v>Meta</v>
      </c>
      <c r="C11" s="3" t="str">
        <f>'10_Clean_Meta'!C11</f>
        <v>Campaign_C</v>
      </c>
      <c r="D11" s="3" t="str">
        <f>'10_Clean_Meta'!D11</f>
        <v>Prospecting</v>
      </c>
      <c r="E11" s="3" t="str">
        <f>'10_Clean_Meta'!E11</f>
        <v>Creative_1</v>
      </c>
      <c r="F11" s="3">
        <f>'10_Clean_Meta'!F11</f>
        <v>43.56</v>
      </c>
      <c r="G11" s="3">
        <f>'10_Clean_Meta'!G11</f>
        <v>16202</v>
      </c>
      <c r="H11" s="3">
        <f>'10_Clean_Meta'!H11</f>
        <v>1027</v>
      </c>
      <c r="I11" s="3">
        <f>'10_Clean_Meta'!I11</f>
        <v>51</v>
      </c>
      <c r="J11" s="3">
        <f>'10_Clean_Meta'!J11</f>
        <v>10</v>
      </c>
      <c r="K11" s="3">
        <f>'10_Clean_Meta'!K11</f>
        <v>1761.2</v>
      </c>
      <c r="L11">
        <f t="shared" si="0"/>
        <v>6.3387236143685965E-2</v>
      </c>
      <c r="M11" s="3">
        <f t="shared" si="1"/>
        <v>9.7370983446932822E-3</v>
      </c>
      <c r="N11" s="3">
        <f t="shared" si="2"/>
        <v>4.2414800389483934E-2</v>
      </c>
      <c r="O11" s="3">
        <f t="shared" si="3"/>
        <v>4.3559999999999999</v>
      </c>
      <c r="P11">
        <f t="shared" si="4"/>
        <v>40.431588613406795</v>
      </c>
    </row>
    <row r="12" spans="1:16">
      <c r="A12" s="1">
        <f>'10_Clean_Meta'!A12</f>
        <v>46033</v>
      </c>
      <c r="B12" s="3" t="str">
        <f>'10_Clean_Meta'!B12</f>
        <v>Meta</v>
      </c>
      <c r="C12" s="3" t="str">
        <f>'10_Clean_Meta'!C12</f>
        <v>Campaign_C</v>
      </c>
      <c r="D12" s="3" t="str">
        <f>'10_Clean_Meta'!D12</f>
        <v>Prospecting</v>
      </c>
      <c r="E12" s="3" t="str">
        <f>'10_Clean_Meta'!E12</f>
        <v>Creative_1</v>
      </c>
      <c r="F12" s="3">
        <f>'10_Clean_Meta'!F12</f>
        <v>65.260000000000005</v>
      </c>
      <c r="G12" s="3">
        <f>'10_Clean_Meta'!G12</f>
        <v>7966</v>
      </c>
      <c r="H12" s="3">
        <f>'10_Clean_Meta'!H12</f>
        <v>1058</v>
      </c>
      <c r="I12" s="3">
        <f>'10_Clean_Meta'!I12</f>
        <v>109</v>
      </c>
      <c r="J12" s="3">
        <f>'10_Clean_Meta'!J12</f>
        <v>19</v>
      </c>
      <c r="K12" s="3">
        <f>'10_Clean_Meta'!K12</f>
        <v>1078.95</v>
      </c>
      <c r="L12">
        <f t="shared" si="0"/>
        <v>0.13281446146121015</v>
      </c>
      <c r="M12" s="3">
        <f t="shared" si="1"/>
        <v>1.7958412098298678E-2</v>
      </c>
      <c r="N12" s="3">
        <f t="shared" si="2"/>
        <v>6.1682419659735352E-2</v>
      </c>
      <c r="O12" s="3">
        <f t="shared" si="3"/>
        <v>3.4347368421052633</v>
      </c>
      <c r="P12">
        <f t="shared" si="4"/>
        <v>16.533098375727857</v>
      </c>
    </row>
    <row r="13" spans="1:16">
      <c r="A13" s="1">
        <f>'10_Clean_Meta'!A13</f>
        <v>46034</v>
      </c>
      <c r="B13" s="3" t="str">
        <f>'10_Clean_Meta'!B13</f>
        <v>Meta</v>
      </c>
      <c r="C13" s="3" t="str">
        <f>'10_Clean_Meta'!C13</f>
        <v>Campaign_C</v>
      </c>
      <c r="D13" s="3" t="str">
        <f>'10_Clean_Meta'!D13</f>
        <v>Prospecting</v>
      </c>
      <c r="E13" s="3" t="str">
        <f>'10_Clean_Meta'!E13</f>
        <v>Creative_3</v>
      </c>
      <c r="F13" s="3">
        <f>'10_Clean_Meta'!F13</f>
        <v>271.60000000000002</v>
      </c>
      <c r="G13" s="3">
        <f>'10_Clean_Meta'!G13</f>
        <v>8079</v>
      </c>
      <c r="H13" s="3">
        <f>'10_Clean_Meta'!H13</f>
        <v>145</v>
      </c>
      <c r="I13" s="3">
        <f>'10_Clean_Meta'!I13</f>
        <v>53</v>
      </c>
      <c r="J13" s="3">
        <f>'10_Clean_Meta'!J13</f>
        <v>17</v>
      </c>
      <c r="K13" s="3">
        <f>'10_Clean_Meta'!K13</f>
        <v>1948.91</v>
      </c>
      <c r="L13">
        <f t="shared" si="0"/>
        <v>1.7947765812600571E-2</v>
      </c>
      <c r="M13" s="3">
        <f t="shared" si="1"/>
        <v>0.11724137931034483</v>
      </c>
      <c r="N13" s="3">
        <f t="shared" si="2"/>
        <v>1.8731034482758622</v>
      </c>
      <c r="O13" s="3">
        <f t="shared" si="3"/>
        <v>15.976470588235296</v>
      </c>
      <c r="P13">
        <f t="shared" si="4"/>
        <v>7.175662739322533</v>
      </c>
    </row>
    <row r="14" spans="1:16">
      <c r="A14" s="1">
        <f>'10_Clean_Meta'!A14</f>
        <v>46035</v>
      </c>
      <c r="B14" s="3" t="str">
        <f>'10_Clean_Meta'!B14</f>
        <v>Meta</v>
      </c>
      <c r="C14" s="3" t="str">
        <f>'10_Clean_Meta'!C14</f>
        <v>Campaign_A</v>
      </c>
      <c r="D14" s="3" t="str">
        <f>'10_Clean_Meta'!D14</f>
        <v>Prospecting</v>
      </c>
      <c r="E14" s="3" t="str">
        <f>'10_Clean_Meta'!E14</f>
        <v>Creative_3</v>
      </c>
      <c r="F14" s="3">
        <f>'10_Clean_Meta'!F14</f>
        <v>189.8</v>
      </c>
      <c r="G14" s="3">
        <f>'10_Clean_Meta'!G14</f>
        <v>8987</v>
      </c>
      <c r="H14" s="3">
        <f>'10_Clean_Meta'!H14</f>
        <v>712</v>
      </c>
      <c r="I14" s="3">
        <f>'10_Clean_Meta'!I14</f>
        <v>18</v>
      </c>
      <c r="J14" s="3">
        <f>'10_Clean_Meta'!J14</f>
        <v>21</v>
      </c>
      <c r="K14" s="3">
        <f>'10_Clean_Meta'!K14</f>
        <v>1243.68</v>
      </c>
      <c r="L14">
        <f t="shared" si="0"/>
        <v>7.9225548013797706E-2</v>
      </c>
      <c r="M14" s="3">
        <f t="shared" si="1"/>
        <v>2.9494382022471909E-2</v>
      </c>
      <c r="N14" s="3">
        <f t="shared" si="2"/>
        <v>0.26657303370786517</v>
      </c>
      <c r="O14" s="3">
        <f t="shared" si="3"/>
        <v>9.038095238095238</v>
      </c>
      <c r="P14">
        <f t="shared" si="4"/>
        <v>6.5525816649104316</v>
      </c>
    </row>
    <row r="15" spans="1:16">
      <c r="A15" s="1">
        <f>'10_Clean_Meta'!A15</f>
        <v>46036</v>
      </c>
      <c r="B15" s="3" t="str">
        <f>'10_Clean_Meta'!B15</f>
        <v>Meta</v>
      </c>
      <c r="C15" s="3" t="str">
        <f>'10_Clean_Meta'!C15</f>
        <v>Campaign_C</v>
      </c>
      <c r="D15" s="3" t="str">
        <f>'10_Clean_Meta'!D15</f>
        <v>Retargeting</v>
      </c>
      <c r="E15" s="3" t="str">
        <f>'10_Clean_Meta'!E15</f>
        <v>Creative_2</v>
      </c>
      <c r="F15" s="3">
        <f>'10_Clean_Meta'!F15</f>
        <v>22.58</v>
      </c>
      <c r="G15" s="3">
        <f>'10_Clean_Meta'!G15</f>
        <v>7799</v>
      </c>
      <c r="H15" s="3">
        <f>'10_Clean_Meta'!H15</f>
        <v>86</v>
      </c>
      <c r="I15" s="3">
        <f>'10_Clean_Meta'!I15</f>
        <v>19</v>
      </c>
      <c r="J15" s="3">
        <f>'10_Clean_Meta'!J15</f>
        <v>14</v>
      </c>
      <c r="K15" s="3">
        <f>'10_Clean_Meta'!K15</f>
        <v>525.30999999999995</v>
      </c>
      <c r="L15">
        <f t="shared" si="0"/>
        <v>1.1027054750609052E-2</v>
      </c>
      <c r="M15" s="3">
        <f t="shared" si="1"/>
        <v>0.16279069767441862</v>
      </c>
      <c r="N15" s="3">
        <f t="shared" si="2"/>
        <v>0.26255813953488372</v>
      </c>
      <c r="O15" s="3">
        <f t="shared" si="3"/>
        <v>1.6128571428571428</v>
      </c>
      <c r="P15">
        <f t="shared" si="4"/>
        <v>23.264393268379095</v>
      </c>
    </row>
    <row r="16" spans="1:16">
      <c r="A16" s="1">
        <f>'10_Clean_Meta'!A16</f>
        <v>46037</v>
      </c>
      <c r="B16" s="3" t="str">
        <f>'10_Clean_Meta'!B16</f>
        <v>Meta</v>
      </c>
      <c r="C16" s="3" t="str">
        <f>'10_Clean_Meta'!C16</f>
        <v>Campaign_B</v>
      </c>
      <c r="D16" s="3" t="str">
        <f>'10_Clean_Meta'!D16</f>
        <v>Prospecting</v>
      </c>
      <c r="E16" s="3" t="str">
        <f>'10_Clean_Meta'!E16</f>
        <v>Creative_3</v>
      </c>
      <c r="F16" s="3">
        <f>'10_Clean_Meta'!F16</f>
        <v>48.41</v>
      </c>
      <c r="G16" s="3">
        <f>'10_Clean_Meta'!G16</f>
        <v>5465</v>
      </c>
      <c r="H16" s="3">
        <f>'10_Clean_Meta'!H16</f>
        <v>328</v>
      </c>
      <c r="I16" s="3">
        <f>'10_Clean_Meta'!I16</f>
        <v>35</v>
      </c>
      <c r="J16" s="3">
        <f>'10_Clean_Meta'!J16</f>
        <v>9</v>
      </c>
      <c r="K16" s="3">
        <f>'10_Clean_Meta'!K16</f>
        <v>1661.4</v>
      </c>
      <c r="L16">
        <f t="shared" si="0"/>
        <v>6.0018298261665139E-2</v>
      </c>
      <c r="M16" s="3">
        <f t="shared" si="1"/>
        <v>2.7439024390243903E-2</v>
      </c>
      <c r="N16" s="3">
        <f t="shared" si="2"/>
        <v>0.14759146341463414</v>
      </c>
      <c r="O16" s="3">
        <f t="shared" si="3"/>
        <v>5.3788888888888886</v>
      </c>
      <c r="P16">
        <f t="shared" si="4"/>
        <v>34.31935550506094</v>
      </c>
    </row>
    <row r="17" spans="1:16">
      <c r="A17" s="1">
        <f>'10_Clean_Meta'!A17</f>
        <v>46038</v>
      </c>
      <c r="B17" s="3" t="str">
        <f>'10_Clean_Meta'!B17</f>
        <v>Meta</v>
      </c>
      <c r="C17" s="3" t="str">
        <f>'10_Clean_Meta'!C17</f>
        <v>Campaign_A</v>
      </c>
      <c r="D17" s="3" t="str">
        <f>'10_Clean_Meta'!D17</f>
        <v>Retargeting</v>
      </c>
      <c r="E17" s="3" t="str">
        <f>'10_Clean_Meta'!E17</f>
        <v>Creative_1</v>
      </c>
      <c r="F17" s="3">
        <f>'10_Clean_Meta'!F17</f>
        <v>205.78</v>
      </c>
      <c r="G17" s="3">
        <f>'10_Clean_Meta'!G17</f>
        <v>18019</v>
      </c>
      <c r="H17" s="3">
        <f>'10_Clean_Meta'!H17</f>
        <v>266</v>
      </c>
      <c r="I17" s="3">
        <f>'10_Clean_Meta'!I17</f>
        <v>5</v>
      </c>
      <c r="J17" s="3">
        <f>'10_Clean_Meta'!J17</f>
        <v>46</v>
      </c>
      <c r="K17" s="3">
        <f>'10_Clean_Meta'!K17</f>
        <v>755.66</v>
      </c>
      <c r="L17">
        <f t="shared" si="0"/>
        <v>1.4762195460347412E-2</v>
      </c>
      <c r="M17" s="3">
        <f t="shared" si="1"/>
        <v>0.17293233082706766</v>
      </c>
      <c r="N17" s="3">
        <f t="shared" si="2"/>
        <v>0.77360902255639097</v>
      </c>
      <c r="O17" s="3">
        <f t="shared" si="3"/>
        <v>4.4734782608695651</v>
      </c>
      <c r="P17">
        <f t="shared" si="4"/>
        <v>3.6721741665856737</v>
      </c>
    </row>
    <row r="18" spans="1:16">
      <c r="A18" s="1">
        <f>'10_Clean_Meta'!A18</f>
        <v>46039</v>
      </c>
      <c r="B18" s="3" t="str">
        <f>'10_Clean_Meta'!B18</f>
        <v>Meta</v>
      </c>
      <c r="C18" s="3" t="str">
        <f>'10_Clean_Meta'!C18</f>
        <v>Campaign_B</v>
      </c>
      <c r="D18" s="3" t="str">
        <f>'10_Clean_Meta'!D18</f>
        <v>Prospecting</v>
      </c>
      <c r="E18" s="3" t="str">
        <f>'10_Clean_Meta'!E18</f>
        <v>Creative_2</v>
      </c>
      <c r="F18" s="3">
        <f>'10_Clean_Meta'!F18</f>
        <v>21.42</v>
      </c>
      <c r="G18" s="3">
        <f>'10_Clean_Meta'!G18</f>
        <v>14417</v>
      </c>
      <c r="H18" s="3">
        <f>'10_Clean_Meta'!H18</f>
        <v>916</v>
      </c>
      <c r="I18" s="3">
        <f>'10_Clean_Meta'!I18</f>
        <v>58</v>
      </c>
      <c r="J18" s="3">
        <f>'10_Clean_Meta'!J18</f>
        <v>1</v>
      </c>
      <c r="K18" s="3">
        <f>'10_Clean_Meta'!K18</f>
        <v>760.48</v>
      </c>
      <c r="L18">
        <f t="shared" si="0"/>
        <v>6.3536103211486436E-2</v>
      </c>
      <c r="M18" s="3">
        <f t="shared" si="1"/>
        <v>1.0917030567685589E-3</v>
      </c>
      <c r="N18" s="3">
        <f t="shared" si="2"/>
        <v>2.3384279475982536E-2</v>
      </c>
      <c r="O18" s="3">
        <f t="shared" si="3"/>
        <v>21.42</v>
      </c>
      <c r="P18">
        <f t="shared" si="4"/>
        <v>35.503267973856204</v>
      </c>
    </row>
    <row r="19" spans="1:16">
      <c r="A19" s="1">
        <f>'10_Clean_Meta'!A19</f>
        <v>46040</v>
      </c>
      <c r="B19" s="3" t="str">
        <f>'10_Clean_Meta'!B19</f>
        <v>Meta</v>
      </c>
      <c r="C19" s="3" t="str">
        <f>'10_Clean_Meta'!C19</f>
        <v>Campaign_B</v>
      </c>
      <c r="D19" s="3" t="str">
        <f>'10_Clean_Meta'!D19</f>
        <v>Retargeting</v>
      </c>
      <c r="E19" s="3" t="str">
        <f>'10_Clean_Meta'!E19</f>
        <v>Creative_1</v>
      </c>
      <c r="F19" s="3">
        <f>'10_Clean_Meta'!F19</f>
        <v>65.03</v>
      </c>
      <c r="G19" s="3">
        <f>'10_Clean_Meta'!G19</f>
        <v>19077</v>
      </c>
      <c r="H19" s="3">
        <f>'10_Clean_Meta'!H19</f>
        <v>922</v>
      </c>
      <c r="I19" s="3">
        <f>'10_Clean_Meta'!I19</f>
        <v>7</v>
      </c>
      <c r="J19" s="3">
        <f>'10_Clean_Meta'!J19</f>
        <v>51</v>
      </c>
      <c r="K19" s="3">
        <f>'10_Clean_Meta'!K19</f>
        <v>160.43</v>
      </c>
      <c r="L19">
        <f t="shared" si="0"/>
        <v>4.8330450280442416E-2</v>
      </c>
      <c r="M19" s="3">
        <f t="shared" si="1"/>
        <v>5.5314533622559656E-2</v>
      </c>
      <c r="N19" s="3">
        <f t="shared" si="2"/>
        <v>7.0531453362255969E-2</v>
      </c>
      <c r="O19" s="3">
        <f t="shared" si="3"/>
        <v>1.2750980392156863</v>
      </c>
      <c r="P19">
        <f t="shared" si="4"/>
        <v>2.4670152237428882</v>
      </c>
    </row>
    <row r="20" spans="1:16">
      <c r="A20" s="1">
        <f>'10_Clean_Meta'!A20</f>
        <v>46041</v>
      </c>
      <c r="B20" s="3" t="str">
        <f>'10_Clean_Meta'!B20</f>
        <v>Meta</v>
      </c>
      <c r="C20" s="3" t="str">
        <f>'10_Clean_Meta'!C20</f>
        <v>Campaign_B</v>
      </c>
      <c r="D20" s="3" t="str">
        <f>'10_Clean_Meta'!D20</f>
        <v>Prospecting</v>
      </c>
      <c r="E20" s="3" t="str">
        <f>'10_Clean_Meta'!E20</f>
        <v>Creative_1</v>
      </c>
      <c r="F20" s="3">
        <f>'10_Clean_Meta'!F20</f>
        <v>173.65</v>
      </c>
      <c r="G20" s="3">
        <f>'10_Clean_Meta'!G20</f>
        <v>9311</v>
      </c>
      <c r="H20" s="3">
        <f>'10_Clean_Meta'!H20</f>
        <v>111</v>
      </c>
      <c r="I20" s="3">
        <f>'10_Clean_Meta'!I20</f>
        <v>20</v>
      </c>
      <c r="J20" s="3">
        <f>'10_Clean_Meta'!J20</f>
        <v>45</v>
      </c>
      <c r="K20" s="3">
        <f>'10_Clean_Meta'!K20</f>
        <v>1142.56</v>
      </c>
      <c r="L20">
        <f t="shared" si="0"/>
        <v>1.1921383310063366E-2</v>
      </c>
      <c r="M20" s="3">
        <f t="shared" si="1"/>
        <v>0.40540540540540543</v>
      </c>
      <c r="N20" s="3">
        <f t="shared" si="2"/>
        <v>1.5644144144144145</v>
      </c>
      <c r="O20" s="3">
        <f t="shared" si="3"/>
        <v>3.858888888888889</v>
      </c>
      <c r="P20">
        <f t="shared" si="4"/>
        <v>6.5796717535272098</v>
      </c>
    </row>
    <row r="21" spans="1:16">
      <c r="A21" s="1">
        <f>'10_Clean_Meta'!A21</f>
        <v>46042</v>
      </c>
      <c r="B21" s="3" t="str">
        <f>'10_Clean_Meta'!B21</f>
        <v>Meta</v>
      </c>
      <c r="C21" s="3" t="str">
        <f>'10_Clean_Meta'!C21</f>
        <v>Campaign_B</v>
      </c>
      <c r="D21" s="3" t="str">
        <f>'10_Clean_Meta'!D21</f>
        <v>Prospecting</v>
      </c>
      <c r="E21" s="3" t="str">
        <f>'10_Clean_Meta'!E21</f>
        <v>Creative_3</v>
      </c>
      <c r="F21" s="3">
        <f>'10_Clean_Meta'!F21</f>
        <v>213.73</v>
      </c>
      <c r="G21" s="3">
        <f>'10_Clean_Meta'!G21</f>
        <v>18214</v>
      </c>
      <c r="H21" s="3">
        <f>'10_Clean_Meta'!H21</f>
        <v>645</v>
      </c>
      <c r="I21" s="3">
        <f>'10_Clean_Meta'!I21</f>
        <v>91</v>
      </c>
      <c r="J21" s="3">
        <f>'10_Clean_Meta'!J21</f>
        <v>13</v>
      </c>
      <c r="K21" s="3">
        <f>'10_Clean_Meta'!K21</f>
        <v>1115.4000000000001</v>
      </c>
      <c r="L21">
        <f t="shared" si="0"/>
        <v>3.5412320193257935E-2</v>
      </c>
      <c r="M21" s="3">
        <f t="shared" si="1"/>
        <v>2.0155038759689922E-2</v>
      </c>
      <c r="N21" s="3">
        <f t="shared" si="2"/>
        <v>0.3313643410852713</v>
      </c>
      <c r="O21" s="3">
        <f t="shared" si="3"/>
        <v>16.440769230769231</v>
      </c>
      <c r="P21">
        <f t="shared" si="4"/>
        <v>5.2187339166237781</v>
      </c>
    </row>
    <row r="22" spans="1:16">
      <c r="A22" s="1">
        <f>'10_Clean_Meta'!A22</f>
        <v>46043</v>
      </c>
      <c r="B22" s="3" t="str">
        <f>'10_Clean_Meta'!B22</f>
        <v>Meta</v>
      </c>
      <c r="C22" s="3" t="str">
        <f>'10_Clean_Meta'!C22</f>
        <v>Campaign_A</v>
      </c>
      <c r="D22" s="3" t="str">
        <f>'10_Clean_Meta'!D22</f>
        <v>Retargeting</v>
      </c>
      <c r="E22" s="3" t="str">
        <f>'10_Clean_Meta'!E22</f>
        <v>Creative_2</v>
      </c>
      <c r="F22" s="3">
        <f>'10_Clean_Meta'!F22</f>
        <v>202.55</v>
      </c>
      <c r="G22" s="3">
        <f>'10_Clean_Meta'!G22</f>
        <v>15098</v>
      </c>
      <c r="H22" s="3">
        <f>'10_Clean_Meta'!H22</f>
        <v>778</v>
      </c>
      <c r="I22" s="3">
        <f>'10_Clean_Meta'!I22</f>
        <v>61</v>
      </c>
      <c r="J22" s="3">
        <f>'10_Clean_Meta'!J22</f>
        <v>4</v>
      </c>
      <c r="K22" s="3">
        <f>'10_Clean_Meta'!K22</f>
        <v>776.38</v>
      </c>
      <c r="L22">
        <f t="shared" si="0"/>
        <v>5.1530003974036294E-2</v>
      </c>
      <c r="M22" s="3">
        <f t="shared" si="1"/>
        <v>5.1413881748071976E-3</v>
      </c>
      <c r="N22" s="3">
        <f t="shared" si="2"/>
        <v>0.26034704370179951</v>
      </c>
      <c r="O22" s="3">
        <f t="shared" si="3"/>
        <v>50.637500000000003</v>
      </c>
      <c r="P22">
        <f t="shared" si="4"/>
        <v>3.8330288817575906</v>
      </c>
    </row>
    <row r="23" spans="1:16">
      <c r="A23" s="1">
        <f>'10_Clean_Meta'!A23</f>
        <v>46044</v>
      </c>
      <c r="B23" s="3" t="str">
        <f>'10_Clean_Meta'!B23</f>
        <v>Meta</v>
      </c>
      <c r="C23" s="3" t="str">
        <f>'10_Clean_Meta'!C23</f>
        <v>Campaign_A</v>
      </c>
      <c r="D23" s="3" t="str">
        <f>'10_Clean_Meta'!D23</f>
        <v>Retargeting</v>
      </c>
      <c r="E23" s="3" t="str">
        <f>'10_Clean_Meta'!E23</f>
        <v>Creative_3</v>
      </c>
      <c r="F23" s="3">
        <f>'10_Clean_Meta'!F23</f>
        <v>82.8</v>
      </c>
      <c r="G23" s="3">
        <f>'10_Clean_Meta'!G23</f>
        <v>6177</v>
      </c>
      <c r="H23" s="3">
        <f>'10_Clean_Meta'!H23</f>
        <v>446</v>
      </c>
      <c r="I23" s="3">
        <f>'10_Clean_Meta'!I23</f>
        <v>79</v>
      </c>
      <c r="J23" s="3">
        <f>'10_Clean_Meta'!J23</f>
        <v>1</v>
      </c>
      <c r="K23" s="3">
        <f>'10_Clean_Meta'!K23</f>
        <v>1799.01</v>
      </c>
      <c r="L23">
        <f t="shared" si="0"/>
        <v>7.2203334952242182E-2</v>
      </c>
      <c r="M23" s="3">
        <f t="shared" si="1"/>
        <v>2.242152466367713E-3</v>
      </c>
      <c r="N23" s="3">
        <f t="shared" si="2"/>
        <v>0.18565022421524663</v>
      </c>
      <c r="O23" s="3">
        <f t="shared" si="3"/>
        <v>82.8</v>
      </c>
      <c r="P23">
        <f t="shared" si="4"/>
        <v>21.72717391304348</v>
      </c>
    </row>
    <row r="24" spans="1:16">
      <c r="A24" s="1">
        <f>'10_Clean_Meta'!A24</f>
        <v>46045</v>
      </c>
      <c r="B24" s="3" t="str">
        <f>'10_Clean_Meta'!B24</f>
        <v>Meta</v>
      </c>
      <c r="C24" s="3" t="str">
        <f>'10_Clean_Meta'!C24</f>
        <v>Campaign_B</v>
      </c>
      <c r="D24" s="3" t="str">
        <f>'10_Clean_Meta'!D24</f>
        <v>Retargeting</v>
      </c>
      <c r="E24" s="3" t="str">
        <f>'10_Clean_Meta'!E24</f>
        <v>Creative_3</v>
      </c>
      <c r="F24" s="3">
        <f>'10_Clean_Meta'!F24</f>
        <v>219.41</v>
      </c>
      <c r="G24" s="3">
        <f>'10_Clean_Meta'!G24</f>
        <v>15262</v>
      </c>
      <c r="H24" s="3">
        <f>'10_Clean_Meta'!H24</f>
        <v>748</v>
      </c>
      <c r="I24" s="3">
        <f>'10_Clean_Meta'!I24</f>
        <v>16</v>
      </c>
      <c r="J24" s="3">
        <f>'10_Clean_Meta'!J24</f>
        <v>49</v>
      </c>
      <c r="K24" s="3">
        <f>'10_Clean_Meta'!K24</f>
        <v>344.62</v>
      </c>
      <c r="L24">
        <f t="shared" si="0"/>
        <v>4.9010614598348844E-2</v>
      </c>
      <c r="M24" s="3">
        <f t="shared" si="1"/>
        <v>6.550802139037433E-2</v>
      </c>
      <c r="N24" s="3">
        <f t="shared" si="2"/>
        <v>0.2933288770053476</v>
      </c>
      <c r="O24" s="3">
        <f t="shared" si="3"/>
        <v>4.4777551020408159</v>
      </c>
      <c r="P24">
        <f t="shared" si="4"/>
        <v>1.5706667882047309</v>
      </c>
    </row>
    <row r="25" spans="1:16">
      <c r="A25" s="1">
        <f>'10_Clean_Meta'!A25</f>
        <v>46046</v>
      </c>
      <c r="B25" s="3" t="str">
        <f>'10_Clean_Meta'!B25</f>
        <v>Meta</v>
      </c>
      <c r="C25" s="3" t="str">
        <f>'10_Clean_Meta'!C25</f>
        <v>Campaign_B</v>
      </c>
      <c r="D25" s="3" t="str">
        <f>'10_Clean_Meta'!D25</f>
        <v>Prospecting</v>
      </c>
      <c r="E25" s="3" t="str">
        <f>'10_Clean_Meta'!E25</f>
        <v>Creative_2</v>
      </c>
      <c r="F25" s="3">
        <f>'10_Clean_Meta'!F25</f>
        <v>86.43</v>
      </c>
      <c r="G25" s="3">
        <f>'10_Clean_Meta'!G25</f>
        <v>9308</v>
      </c>
      <c r="H25" s="3">
        <f>'10_Clean_Meta'!H25</f>
        <v>1092</v>
      </c>
      <c r="I25" s="3">
        <f>'10_Clean_Meta'!I25</f>
        <v>78</v>
      </c>
      <c r="J25" s="3">
        <f>'10_Clean_Meta'!J25</f>
        <v>40</v>
      </c>
      <c r="K25" s="3">
        <f>'10_Clean_Meta'!K25</f>
        <v>727.19</v>
      </c>
      <c r="L25">
        <f t="shared" si="0"/>
        <v>0.11731843575418995</v>
      </c>
      <c r="M25" s="3">
        <f t="shared" si="1"/>
        <v>3.6630036630036632E-2</v>
      </c>
      <c r="N25" s="3">
        <f t="shared" si="2"/>
        <v>7.9148351648351656E-2</v>
      </c>
      <c r="O25" s="3">
        <f t="shared" si="3"/>
        <v>2.1607500000000002</v>
      </c>
      <c r="P25">
        <f t="shared" si="4"/>
        <v>8.4136295267846819</v>
      </c>
    </row>
    <row r="26" spans="1:16">
      <c r="A26" s="1">
        <f>'10_Clean_Meta'!A26</f>
        <v>46047</v>
      </c>
      <c r="B26" s="3" t="str">
        <f>'10_Clean_Meta'!B26</f>
        <v>Meta</v>
      </c>
      <c r="C26" s="3" t="str">
        <f>'10_Clean_Meta'!C26</f>
        <v>Campaign_A</v>
      </c>
      <c r="D26" s="3" t="str">
        <f>'10_Clean_Meta'!D26</f>
        <v>Retargeting</v>
      </c>
      <c r="E26" s="3" t="str">
        <f>'10_Clean_Meta'!E26</f>
        <v>Creative_1</v>
      </c>
      <c r="F26" s="3">
        <f>'10_Clean_Meta'!F26</f>
        <v>111.11</v>
      </c>
      <c r="G26" s="3">
        <f>'10_Clean_Meta'!G26</f>
        <v>6949</v>
      </c>
      <c r="H26" s="3">
        <f>'10_Clean_Meta'!H26</f>
        <v>226</v>
      </c>
      <c r="I26" s="3">
        <f>'10_Clean_Meta'!I26</f>
        <v>100</v>
      </c>
      <c r="J26" s="3">
        <f>'10_Clean_Meta'!J26</f>
        <v>32</v>
      </c>
      <c r="K26" s="3">
        <f>'10_Clean_Meta'!K26</f>
        <v>711.01</v>
      </c>
      <c r="L26">
        <f t="shared" si="0"/>
        <v>3.2522665131673623E-2</v>
      </c>
      <c r="M26" s="3">
        <f t="shared" si="1"/>
        <v>0.1415929203539823</v>
      </c>
      <c r="N26" s="3">
        <f t="shared" si="2"/>
        <v>0.49163716814159292</v>
      </c>
      <c r="O26" s="3">
        <f t="shared" si="3"/>
        <v>3.4721875</v>
      </c>
      <c r="P26">
        <f t="shared" si="4"/>
        <v>6.3991539915399152</v>
      </c>
    </row>
    <row r="27" spans="1:16">
      <c r="A27" s="1">
        <f>'10_Clean_Meta'!A27</f>
        <v>46048</v>
      </c>
      <c r="B27" s="3" t="str">
        <f>'10_Clean_Meta'!B27</f>
        <v>Meta</v>
      </c>
      <c r="C27" s="3" t="str">
        <f>'10_Clean_Meta'!C27</f>
        <v>Campaign_A</v>
      </c>
      <c r="D27" s="3" t="str">
        <f>'10_Clean_Meta'!D27</f>
        <v>Prospecting</v>
      </c>
      <c r="E27" s="3" t="str">
        <f>'10_Clean_Meta'!E27</f>
        <v>Creative_1</v>
      </c>
      <c r="F27" s="3">
        <f>'10_Clean_Meta'!F27</f>
        <v>229.02</v>
      </c>
      <c r="G27" s="3">
        <f>'10_Clean_Meta'!G27</f>
        <v>2150</v>
      </c>
      <c r="H27" s="3">
        <f>'10_Clean_Meta'!H27</f>
        <v>445</v>
      </c>
      <c r="I27" s="3">
        <f>'10_Clean_Meta'!I27</f>
        <v>20</v>
      </c>
      <c r="J27" s="3">
        <f>'10_Clean_Meta'!J27</f>
        <v>34</v>
      </c>
      <c r="K27" s="3">
        <f>'10_Clean_Meta'!K27</f>
        <v>275.35000000000002</v>
      </c>
      <c r="L27">
        <f t="shared" si="0"/>
        <v>0.2069767441860465</v>
      </c>
      <c r="M27" s="3">
        <f t="shared" si="1"/>
        <v>7.6404494382022473E-2</v>
      </c>
      <c r="N27" s="3">
        <f t="shared" si="2"/>
        <v>0.51465168539325845</v>
      </c>
      <c r="O27" s="3">
        <f t="shared" si="3"/>
        <v>6.7358823529411769</v>
      </c>
      <c r="P27">
        <f t="shared" si="4"/>
        <v>1.2022967426425639</v>
      </c>
    </row>
    <row r="28" spans="1:16">
      <c r="A28" s="1">
        <f>'10_Clean_Meta'!A28</f>
        <v>46049</v>
      </c>
      <c r="B28" s="3" t="str">
        <f>'10_Clean_Meta'!B28</f>
        <v>Meta</v>
      </c>
      <c r="C28" s="3" t="str">
        <f>'10_Clean_Meta'!C28</f>
        <v>Campaign_A</v>
      </c>
      <c r="D28" s="3" t="str">
        <f>'10_Clean_Meta'!D28</f>
        <v>Prospecting</v>
      </c>
      <c r="E28" s="3" t="str">
        <f>'10_Clean_Meta'!E28</f>
        <v>Creative_2</v>
      </c>
      <c r="F28" s="3">
        <f>'10_Clean_Meta'!F28</f>
        <v>201.9</v>
      </c>
      <c r="G28" s="3">
        <f>'10_Clean_Meta'!G28</f>
        <v>2931</v>
      </c>
      <c r="H28" s="3">
        <f>'10_Clean_Meta'!H28</f>
        <v>494</v>
      </c>
      <c r="I28" s="3">
        <f>'10_Clean_Meta'!I28</f>
        <v>76</v>
      </c>
      <c r="J28" s="3">
        <f>'10_Clean_Meta'!J28</f>
        <v>28</v>
      </c>
      <c r="K28" s="3">
        <f>'10_Clean_Meta'!K28</f>
        <v>1014.18</v>
      </c>
      <c r="L28">
        <f t="shared" si="0"/>
        <v>0.16854315933128625</v>
      </c>
      <c r="M28" s="3">
        <f t="shared" si="1"/>
        <v>5.6680161943319839E-2</v>
      </c>
      <c r="N28" s="3">
        <f t="shared" si="2"/>
        <v>0.40870445344129558</v>
      </c>
      <c r="O28" s="3">
        <f t="shared" si="3"/>
        <v>7.2107142857142863</v>
      </c>
      <c r="P28">
        <f t="shared" si="4"/>
        <v>5.0231797919762258</v>
      </c>
    </row>
    <row r="29" spans="1:16">
      <c r="A29" s="1">
        <f>'10_Clean_Meta'!A29</f>
        <v>46050</v>
      </c>
      <c r="B29" s="3" t="str">
        <f>'10_Clean_Meta'!B29</f>
        <v>Meta</v>
      </c>
      <c r="C29" s="3" t="str">
        <f>'10_Clean_Meta'!C29</f>
        <v>Campaign_C</v>
      </c>
      <c r="D29" s="3" t="str">
        <f>'10_Clean_Meta'!D29</f>
        <v>Retargeting</v>
      </c>
      <c r="E29" s="3" t="str">
        <f>'10_Clean_Meta'!E29</f>
        <v>Creative_1</v>
      </c>
      <c r="F29" s="3">
        <f>'10_Clean_Meta'!F29</f>
        <v>257.77999999999997</v>
      </c>
      <c r="G29" s="3">
        <f>'10_Clean_Meta'!G29</f>
        <v>10204</v>
      </c>
      <c r="H29" s="3">
        <f>'10_Clean_Meta'!H29</f>
        <v>125</v>
      </c>
      <c r="I29" s="3">
        <f>'10_Clean_Meta'!I29</f>
        <v>106</v>
      </c>
      <c r="J29" s="3">
        <f>'10_Clean_Meta'!J29</f>
        <v>31</v>
      </c>
      <c r="K29" s="3">
        <f>'10_Clean_Meta'!K29</f>
        <v>1406.79</v>
      </c>
      <c r="L29">
        <f t="shared" si="0"/>
        <v>1.2250098000784006E-2</v>
      </c>
      <c r="M29" s="3">
        <f t="shared" si="1"/>
        <v>0.248</v>
      </c>
      <c r="N29" s="3">
        <f t="shared" si="2"/>
        <v>2.0622399999999996</v>
      </c>
      <c r="O29" s="3">
        <f t="shared" si="3"/>
        <v>8.315483870967741</v>
      </c>
      <c r="P29">
        <f t="shared" si="4"/>
        <v>5.4573279540693616</v>
      </c>
    </row>
    <row r="30" spans="1:16">
      <c r="A30" s="1">
        <f>'10_Clean_Meta'!A30</f>
        <v>46051</v>
      </c>
      <c r="B30" s="3" t="str">
        <f>'10_Clean_Meta'!B30</f>
        <v>Meta</v>
      </c>
      <c r="C30" s="3" t="str">
        <f>'10_Clean_Meta'!C30</f>
        <v>Campaign_C</v>
      </c>
      <c r="D30" s="3" t="str">
        <f>'10_Clean_Meta'!D30</f>
        <v>Retargeting</v>
      </c>
      <c r="E30" s="3" t="str">
        <f>'10_Clean_Meta'!E30</f>
        <v>Creative_2</v>
      </c>
      <c r="F30" s="3">
        <f>'10_Clean_Meta'!F30</f>
        <v>204.13</v>
      </c>
      <c r="G30" s="3">
        <f>'10_Clean_Meta'!G30</f>
        <v>19048</v>
      </c>
      <c r="H30" s="3">
        <f>'10_Clean_Meta'!H30</f>
        <v>314</v>
      </c>
      <c r="I30" s="3">
        <f>'10_Clean_Meta'!I30</f>
        <v>80</v>
      </c>
      <c r="J30" s="3">
        <f>'10_Clean_Meta'!J30</f>
        <v>8</v>
      </c>
      <c r="K30" s="3">
        <f>'10_Clean_Meta'!K30</f>
        <v>1072.1500000000001</v>
      </c>
      <c r="L30">
        <f t="shared" si="0"/>
        <v>1.6484670306593868E-2</v>
      </c>
      <c r="M30" s="3">
        <f t="shared" si="1"/>
        <v>2.5477707006369428E-2</v>
      </c>
      <c r="N30" s="3">
        <f t="shared" si="2"/>
        <v>0.6500955414012739</v>
      </c>
      <c r="O30" s="3">
        <f t="shared" si="3"/>
        <v>25.516249999999999</v>
      </c>
      <c r="P30">
        <f t="shared" si="4"/>
        <v>5.2522902072208888</v>
      </c>
    </row>
    <row r="31" spans="1:16">
      <c r="A31" s="1">
        <f>'10_Clean_Meta'!A31</f>
        <v>46052</v>
      </c>
      <c r="B31" s="3" t="str">
        <f>'10_Clean_Meta'!B31</f>
        <v>Meta</v>
      </c>
      <c r="C31" s="3" t="str">
        <f>'10_Clean_Meta'!C31</f>
        <v>Campaign_C</v>
      </c>
      <c r="D31" s="3" t="str">
        <f>'10_Clean_Meta'!D31</f>
        <v>Prospecting</v>
      </c>
      <c r="E31" s="3" t="str">
        <f>'10_Clean_Meta'!E31</f>
        <v>Creative_2</v>
      </c>
      <c r="F31" s="3">
        <f>'10_Clean_Meta'!F31</f>
        <v>179.13</v>
      </c>
      <c r="G31" s="3">
        <f>'10_Clean_Meta'!G31</f>
        <v>2081</v>
      </c>
      <c r="H31" s="3">
        <f>'10_Clean_Meta'!H31</f>
        <v>504</v>
      </c>
      <c r="I31" s="3">
        <f>'10_Clean_Meta'!I31</f>
        <v>28</v>
      </c>
      <c r="J31" s="3">
        <f>'10_Clean_Meta'!J31</f>
        <v>39</v>
      </c>
      <c r="K31" s="3">
        <f>'10_Clean_Meta'!K31</f>
        <v>398.26</v>
      </c>
      <c r="L31">
        <f t="shared" si="0"/>
        <v>0.24219125420470927</v>
      </c>
      <c r="M31" s="3">
        <f t="shared" si="1"/>
        <v>7.7380952380952384E-2</v>
      </c>
      <c r="N31" s="3">
        <f t="shared" si="2"/>
        <v>0.35541666666666666</v>
      </c>
      <c r="O31" s="3">
        <f t="shared" si="3"/>
        <v>4.5930769230769233</v>
      </c>
      <c r="P31">
        <f t="shared" si="4"/>
        <v>2.2233015128677498</v>
      </c>
    </row>
    <row r="32" spans="1:16">
      <c r="A32" s="1">
        <f>'10_Clean_Meta'!A32</f>
        <v>46023</v>
      </c>
      <c r="B32" s="3" t="str">
        <f>'10_Clean_Meta'!B32</f>
        <v>Meta</v>
      </c>
      <c r="C32" s="3" t="str">
        <f>'10_Clean_Meta'!C32</f>
        <v>Campaign_B</v>
      </c>
      <c r="D32" s="3" t="str">
        <f>'10_Clean_Meta'!D32</f>
        <v>Prospecting</v>
      </c>
      <c r="E32" s="3" t="str">
        <f>'10_Clean_Meta'!E32</f>
        <v>Creative_3</v>
      </c>
      <c r="F32" s="3">
        <f>'10_Clean_Meta'!F32</f>
        <v>46.23</v>
      </c>
      <c r="G32" s="3">
        <f>'10_Clean_Meta'!G32</f>
        <v>17896</v>
      </c>
      <c r="H32" s="3">
        <f>'10_Clean_Meta'!H32</f>
        <v>767</v>
      </c>
      <c r="I32" s="3">
        <f>'10_Clean_Meta'!I32</f>
        <v>32</v>
      </c>
      <c r="J32" s="3">
        <f>'10_Clean_Meta'!J32</f>
        <v>26</v>
      </c>
      <c r="K32" s="3">
        <f>'10_Clean_Meta'!K32</f>
        <v>816.84</v>
      </c>
      <c r="L32">
        <f t="shared" si="0"/>
        <v>4.2858739383102369E-2</v>
      </c>
      <c r="M32" s="3">
        <f t="shared" si="1"/>
        <v>3.3898305084745763E-2</v>
      </c>
      <c r="N32" s="3">
        <f t="shared" si="2"/>
        <v>6.0273794002607559E-2</v>
      </c>
      <c r="O32" s="3">
        <f t="shared" si="3"/>
        <v>1.7780769230769229</v>
      </c>
      <c r="P32">
        <f t="shared" si="4"/>
        <v>17.669046073977938</v>
      </c>
    </row>
    <row r="33" spans="1:16">
      <c r="A33" s="1">
        <f>'10_Clean_Meta'!A33</f>
        <v>46024</v>
      </c>
      <c r="B33" s="3" t="str">
        <f>'10_Clean_Meta'!B33</f>
        <v>Meta</v>
      </c>
      <c r="C33" s="3" t="str">
        <f>'10_Clean_Meta'!C33</f>
        <v>Campaign_C</v>
      </c>
      <c r="D33" s="3" t="str">
        <f>'10_Clean_Meta'!D33</f>
        <v>Retargeting</v>
      </c>
      <c r="E33" s="3" t="str">
        <f>'10_Clean_Meta'!E33</f>
        <v>Creative_2</v>
      </c>
      <c r="F33" s="3">
        <f>'10_Clean_Meta'!F33</f>
        <v>122.96</v>
      </c>
      <c r="G33" s="3">
        <f>'10_Clean_Meta'!G33</f>
        <v>14407</v>
      </c>
      <c r="H33" s="3">
        <f>'10_Clean_Meta'!H33</f>
        <v>784</v>
      </c>
      <c r="I33" s="3">
        <f>'10_Clean_Meta'!I33</f>
        <v>12</v>
      </c>
      <c r="J33" s="3">
        <f>'10_Clean_Meta'!J33</f>
        <v>58</v>
      </c>
      <c r="K33" s="3">
        <f>'10_Clean_Meta'!K33</f>
        <v>104.93</v>
      </c>
      <c r="L33">
        <f t="shared" si="0"/>
        <v>5.4417991254251404E-2</v>
      </c>
      <c r="M33" s="3">
        <f t="shared" si="1"/>
        <v>7.3979591836734693E-2</v>
      </c>
      <c r="N33" s="3">
        <f t="shared" si="2"/>
        <v>0.15683673469387754</v>
      </c>
      <c r="O33" s="3">
        <f t="shared" si="3"/>
        <v>2.12</v>
      </c>
      <c r="P33">
        <f t="shared" si="4"/>
        <v>0.85336694860117124</v>
      </c>
    </row>
    <row r="34" spans="1:16">
      <c r="A34" s="1">
        <f>'10_Clean_Meta'!A34</f>
        <v>46025</v>
      </c>
      <c r="B34" s="3" t="str">
        <f>'10_Clean_Meta'!B34</f>
        <v>Meta</v>
      </c>
      <c r="C34" s="3" t="str">
        <f>'10_Clean_Meta'!C34</f>
        <v>Campaign_B</v>
      </c>
      <c r="D34" s="3" t="str">
        <f>'10_Clean_Meta'!D34</f>
        <v>Retargeting</v>
      </c>
      <c r="E34" s="3" t="str">
        <f>'10_Clean_Meta'!E34</f>
        <v>Creative_3</v>
      </c>
      <c r="F34" s="3">
        <f>'10_Clean_Meta'!F34</f>
        <v>94.26</v>
      </c>
      <c r="G34" s="3">
        <f>'10_Clean_Meta'!G34</f>
        <v>8805</v>
      </c>
      <c r="H34" s="3">
        <f>'10_Clean_Meta'!H34</f>
        <v>900</v>
      </c>
      <c r="I34" s="3">
        <f>'10_Clean_Meta'!I34</f>
        <v>96</v>
      </c>
      <c r="J34" s="3">
        <f>'10_Clean_Meta'!J34</f>
        <v>34</v>
      </c>
      <c r="K34" s="3">
        <f>'10_Clean_Meta'!K34</f>
        <v>1749.77</v>
      </c>
      <c r="L34">
        <f t="shared" si="0"/>
        <v>0.10221465076660988</v>
      </c>
      <c r="M34" s="3">
        <f t="shared" si="1"/>
        <v>3.7777777777777778E-2</v>
      </c>
      <c r="N34" s="3">
        <f t="shared" si="2"/>
        <v>0.10473333333333334</v>
      </c>
      <c r="O34" s="3">
        <f t="shared" si="3"/>
        <v>2.7723529411764707</v>
      </c>
      <c r="P34">
        <f t="shared" si="4"/>
        <v>18.563229365584551</v>
      </c>
    </row>
    <row r="35" spans="1:16">
      <c r="A35" s="1">
        <f>'10_Clean_Meta'!A35</f>
        <v>46026</v>
      </c>
      <c r="B35" s="3" t="str">
        <f>'10_Clean_Meta'!B35</f>
        <v>Meta</v>
      </c>
      <c r="C35" s="3" t="str">
        <f>'10_Clean_Meta'!C35</f>
        <v>Campaign_B</v>
      </c>
      <c r="D35" s="3" t="str">
        <f>'10_Clean_Meta'!D35</f>
        <v>Retargeting</v>
      </c>
      <c r="E35" s="3" t="str">
        <f>'10_Clean_Meta'!E35</f>
        <v>Creative_1</v>
      </c>
      <c r="F35" s="3">
        <f>'10_Clean_Meta'!F35</f>
        <v>88.32</v>
      </c>
      <c r="G35" s="3">
        <f>'10_Clean_Meta'!G35</f>
        <v>6237</v>
      </c>
      <c r="H35" s="3">
        <f>'10_Clean_Meta'!H35</f>
        <v>193</v>
      </c>
      <c r="I35" s="3">
        <f>'10_Clean_Meta'!I35</f>
        <v>40</v>
      </c>
      <c r="J35" s="3">
        <f>'10_Clean_Meta'!J35</f>
        <v>54</v>
      </c>
      <c r="K35" s="3">
        <f>'10_Clean_Meta'!K35</f>
        <v>260.58</v>
      </c>
      <c r="L35">
        <f t="shared" si="0"/>
        <v>3.094436427769761E-2</v>
      </c>
      <c r="M35" s="3">
        <f t="shared" si="1"/>
        <v>0.27979274611398963</v>
      </c>
      <c r="N35" s="3">
        <f t="shared" si="2"/>
        <v>0.45761658031088082</v>
      </c>
      <c r="O35" s="3">
        <f t="shared" si="3"/>
        <v>1.6355555555555554</v>
      </c>
      <c r="P35">
        <f t="shared" si="4"/>
        <v>2.9504076086956523</v>
      </c>
    </row>
    <row r="36" spans="1:16">
      <c r="A36" s="1">
        <f>'10_Clean_Meta'!A36</f>
        <v>46027</v>
      </c>
      <c r="B36" s="3" t="str">
        <f>'10_Clean_Meta'!B36</f>
        <v>Meta</v>
      </c>
      <c r="C36" s="3" t="str">
        <f>'10_Clean_Meta'!C36</f>
        <v>Campaign_C</v>
      </c>
      <c r="D36" s="3" t="str">
        <f>'10_Clean_Meta'!D36</f>
        <v>Prospecting</v>
      </c>
      <c r="E36" s="3" t="str">
        <f>'10_Clean_Meta'!E36</f>
        <v>Creative_1</v>
      </c>
      <c r="F36" s="3">
        <f>'10_Clean_Meta'!F36</f>
        <v>292.44</v>
      </c>
      <c r="G36" s="3">
        <f>'10_Clean_Meta'!G36</f>
        <v>17943</v>
      </c>
      <c r="H36" s="3">
        <f>'10_Clean_Meta'!H36</f>
        <v>934</v>
      </c>
      <c r="I36" s="3">
        <f>'10_Clean_Meta'!I36</f>
        <v>94</v>
      </c>
      <c r="J36" s="3">
        <f>'10_Clean_Meta'!J36</f>
        <v>54</v>
      </c>
      <c r="K36" s="3">
        <f>'10_Clean_Meta'!K36</f>
        <v>1234.83</v>
      </c>
      <c r="L36">
        <f t="shared" si="0"/>
        <v>5.2053725686897395E-2</v>
      </c>
      <c r="M36" s="3">
        <f t="shared" si="1"/>
        <v>5.7815845824411134E-2</v>
      </c>
      <c r="N36" s="3">
        <f t="shared" si="2"/>
        <v>0.31310492505353321</v>
      </c>
      <c r="O36" s="3">
        <f t="shared" si="3"/>
        <v>5.4155555555555557</v>
      </c>
      <c r="P36">
        <f t="shared" si="4"/>
        <v>4.2225071809601964</v>
      </c>
    </row>
    <row r="37" spans="1:16">
      <c r="A37" s="1">
        <f>'10_Clean_Meta'!A37</f>
        <v>46028</v>
      </c>
      <c r="B37" s="3" t="str">
        <f>'10_Clean_Meta'!B37</f>
        <v>Meta</v>
      </c>
      <c r="C37" s="3" t="str">
        <f>'10_Clean_Meta'!C37</f>
        <v>Campaign_B</v>
      </c>
      <c r="D37" s="3" t="str">
        <f>'10_Clean_Meta'!D37</f>
        <v>Prospecting</v>
      </c>
      <c r="E37" s="3" t="str">
        <f>'10_Clean_Meta'!E37</f>
        <v>Creative_1</v>
      </c>
      <c r="F37" s="3">
        <f>'10_Clean_Meta'!F37</f>
        <v>130.07</v>
      </c>
      <c r="G37" s="3">
        <f>'10_Clean_Meta'!G37</f>
        <v>13775</v>
      </c>
      <c r="H37" s="3">
        <f>'10_Clean_Meta'!H37</f>
        <v>1142</v>
      </c>
      <c r="I37" s="3">
        <f>'10_Clean_Meta'!I37</f>
        <v>12</v>
      </c>
      <c r="J37" s="3">
        <f>'10_Clean_Meta'!J37</f>
        <v>3</v>
      </c>
      <c r="K37" s="3">
        <f>'10_Clean_Meta'!K37</f>
        <v>1973.89</v>
      </c>
      <c r="L37">
        <f t="shared" si="0"/>
        <v>8.2903811252268603E-2</v>
      </c>
      <c r="M37" s="3">
        <f t="shared" si="1"/>
        <v>2.6269702276707531E-3</v>
      </c>
      <c r="N37" s="3">
        <f t="shared" si="2"/>
        <v>0.11389667250437828</v>
      </c>
      <c r="O37" s="3">
        <f t="shared" si="3"/>
        <v>43.356666666666662</v>
      </c>
      <c r="P37">
        <f t="shared" si="4"/>
        <v>15.175597755054971</v>
      </c>
    </row>
    <row r="38" spans="1:16">
      <c r="A38" s="1">
        <f>'10_Clean_Meta'!A38</f>
        <v>46029</v>
      </c>
      <c r="B38" s="3" t="str">
        <f>'10_Clean_Meta'!B38</f>
        <v>Meta</v>
      </c>
      <c r="C38" s="3" t="str">
        <f>'10_Clean_Meta'!C38</f>
        <v>Campaign_C</v>
      </c>
      <c r="D38" s="3" t="str">
        <f>'10_Clean_Meta'!D38</f>
        <v>Prospecting</v>
      </c>
      <c r="E38" s="3" t="str">
        <f>'10_Clean_Meta'!E38</f>
        <v>Creative_1</v>
      </c>
      <c r="F38" s="3">
        <f>'10_Clean_Meta'!F38</f>
        <v>269.77</v>
      </c>
      <c r="G38" s="3">
        <f>'10_Clean_Meta'!G38</f>
        <v>17244</v>
      </c>
      <c r="H38" s="3">
        <f>'10_Clean_Meta'!H38</f>
        <v>1172</v>
      </c>
      <c r="I38" s="3">
        <f>'10_Clean_Meta'!I38</f>
        <v>62</v>
      </c>
      <c r="J38" s="3">
        <f>'10_Clean_Meta'!J38</f>
        <v>59</v>
      </c>
      <c r="K38" s="3">
        <f>'10_Clean_Meta'!K38</f>
        <v>1119.52</v>
      </c>
      <c r="L38">
        <f t="shared" si="0"/>
        <v>6.7965669218278818E-2</v>
      </c>
      <c r="M38" s="3">
        <f t="shared" si="1"/>
        <v>5.0341296928327645E-2</v>
      </c>
      <c r="N38" s="3">
        <f t="shared" si="2"/>
        <v>0.23017918088737199</v>
      </c>
      <c r="O38" s="3">
        <f t="shared" si="3"/>
        <v>4.5723728813559319</v>
      </c>
      <c r="P38">
        <f t="shared" si="4"/>
        <v>4.1499054750342887</v>
      </c>
    </row>
    <row r="39" spans="1:16">
      <c r="A39" s="1">
        <f>'10_Clean_Meta'!A39</f>
        <v>46030</v>
      </c>
      <c r="B39" s="3" t="str">
        <f>'10_Clean_Meta'!B39</f>
        <v>Meta</v>
      </c>
      <c r="C39" s="3" t="str">
        <f>'10_Clean_Meta'!C39</f>
        <v>Campaign_C</v>
      </c>
      <c r="D39" s="3" t="str">
        <f>'10_Clean_Meta'!D39</f>
        <v>Prospecting</v>
      </c>
      <c r="E39" s="3" t="str">
        <f>'10_Clean_Meta'!E39</f>
        <v>Creative_3</v>
      </c>
      <c r="F39" s="3">
        <f>'10_Clean_Meta'!F39</f>
        <v>196.72</v>
      </c>
      <c r="G39" s="3">
        <f>'10_Clean_Meta'!G39</f>
        <v>14184</v>
      </c>
      <c r="H39" s="3">
        <f>'10_Clean_Meta'!H39</f>
        <v>445</v>
      </c>
      <c r="I39" s="3">
        <f>'10_Clean_Meta'!I39</f>
        <v>64</v>
      </c>
      <c r="J39" s="3">
        <f>'10_Clean_Meta'!J39</f>
        <v>50</v>
      </c>
      <c r="K39" s="3">
        <f>'10_Clean_Meta'!K39</f>
        <v>1855.68</v>
      </c>
      <c r="L39">
        <f t="shared" si="0"/>
        <v>3.1373378454596729E-2</v>
      </c>
      <c r="M39" s="3">
        <f t="shared" si="1"/>
        <v>0.11235955056179775</v>
      </c>
      <c r="N39" s="3">
        <f t="shared" si="2"/>
        <v>0.44206741573033709</v>
      </c>
      <c r="O39" s="3">
        <f t="shared" si="3"/>
        <v>3.9344000000000001</v>
      </c>
      <c r="P39">
        <f t="shared" si="4"/>
        <v>9.4331028873525824</v>
      </c>
    </row>
    <row r="40" spans="1:16">
      <c r="A40" s="1">
        <f>'10_Clean_Meta'!A40</f>
        <v>46031</v>
      </c>
      <c r="B40" s="3" t="str">
        <f>'10_Clean_Meta'!B40</f>
        <v>Meta</v>
      </c>
      <c r="C40" s="3" t="str">
        <f>'10_Clean_Meta'!C40</f>
        <v>Campaign_A</v>
      </c>
      <c r="D40" s="3" t="str">
        <f>'10_Clean_Meta'!D40</f>
        <v>Prospecting</v>
      </c>
      <c r="E40" s="3" t="str">
        <f>'10_Clean_Meta'!E40</f>
        <v>Creative_1</v>
      </c>
      <c r="F40" s="3">
        <f>'10_Clean_Meta'!F40</f>
        <v>242.55</v>
      </c>
      <c r="G40" s="3">
        <f>'10_Clean_Meta'!G40</f>
        <v>4343</v>
      </c>
      <c r="H40" s="3">
        <f>'10_Clean_Meta'!H40</f>
        <v>1098</v>
      </c>
      <c r="I40" s="3">
        <f>'10_Clean_Meta'!I40</f>
        <v>54</v>
      </c>
      <c r="J40" s="3">
        <f>'10_Clean_Meta'!J40</f>
        <v>12</v>
      </c>
      <c r="K40" s="3">
        <f>'10_Clean_Meta'!K40</f>
        <v>548.62</v>
      </c>
      <c r="L40">
        <f t="shared" si="0"/>
        <v>0.25282063090029933</v>
      </c>
      <c r="M40" s="3">
        <f t="shared" si="1"/>
        <v>1.092896174863388E-2</v>
      </c>
      <c r="N40" s="3">
        <f t="shared" si="2"/>
        <v>0.2209016393442623</v>
      </c>
      <c r="O40" s="3">
        <f t="shared" si="3"/>
        <v>20.212500000000002</v>
      </c>
      <c r="P40">
        <f t="shared" si="4"/>
        <v>2.2618841475984333</v>
      </c>
    </row>
    <row r="41" spans="1:16">
      <c r="A41" s="1">
        <f>'10_Clean_Meta'!A41</f>
        <v>46032</v>
      </c>
      <c r="B41" s="3" t="str">
        <f>'10_Clean_Meta'!B41</f>
        <v>Meta</v>
      </c>
      <c r="C41" s="3" t="str">
        <f>'10_Clean_Meta'!C41</f>
        <v>Campaign_C</v>
      </c>
      <c r="D41" s="3" t="str">
        <f>'10_Clean_Meta'!D41</f>
        <v>Prospecting</v>
      </c>
      <c r="E41" s="3" t="str">
        <f>'10_Clean_Meta'!E41</f>
        <v>Creative_2</v>
      </c>
      <c r="F41" s="3">
        <f>'10_Clean_Meta'!F41</f>
        <v>160.74</v>
      </c>
      <c r="G41" s="3">
        <f>'10_Clean_Meta'!G41</f>
        <v>14500</v>
      </c>
      <c r="H41" s="3">
        <f>'10_Clean_Meta'!H41</f>
        <v>997</v>
      </c>
      <c r="I41" s="3">
        <f>'10_Clean_Meta'!I41</f>
        <v>32</v>
      </c>
      <c r="J41" s="3">
        <f>'10_Clean_Meta'!J41</f>
        <v>1</v>
      </c>
      <c r="K41" s="3">
        <f>'10_Clean_Meta'!K41</f>
        <v>1543.92</v>
      </c>
      <c r="L41">
        <f t="shared" si="0"/>
        <v>6.8758620689655173E-2</v>
      </c>
      <c r="M41" s="3">
        <f t="shared" si="1"/>
        <v>1.0030090270812437E-3</v>
      </c>
      <c r="N41" s="3">
        <f t="shared" si="2"/>
        <v>0.16122367101303914</v>
      </c>
      <c r="O41" s="3">
        <f t="shared" si="3"/>
        <v>160.74</v>
      </c>
      <c r="P41">
        <f t="shared" si="4"/>
        <v>9.6050765210899591</v>
      </c>
    </row>
    <row r="42" spans="1:16">
      <c r="A42" s="1">
        <f>'10_Clean_Meta'!A42</f>
        <v>46033</v>
      </c>
      <c r="B42" s="3" t="str">
        <f>'10_Clean_Meta'!B42</f>
        <v>Meta</v>
      </c>
      <c r="C42" s="3" t="str">
        <f>'10_Clean_Meta'!C42</f>
        <v>Campaign_A</v>
      </c>
      <c r="D42" s="3" t="str">
        <f>'10_Clean_Meta'!D42</f>
        <v>Retargeting</v>
      </c>
      <c r="E42" s="3" t="str">
        <f>'10_Clean_Meta'!E42</f>
        <v>Creative_2</v>
      </c>
      <c r="F42" s="3">
        <f>'10_Clean_Meta'!F42</f>
        <v>181.53</v>
      </c>
      <c r="G42" s="3">
        <f>'10_Clean_Meta'!G42</f>
        <v>10662</v>
      </c>
      <c r="H42" s="3">
        <f>'10_Clean_Meta'!H42</f>
        <v>940</v>
      </c>
      <c r="I42" s="3">
        <f>'10_Clean_Meta'!I42</f>
        <v>96</v>
      </c>
      <c r="J42" s="3">
        <f>'10_Clean_Meta'!J42</f>
        <v>54</v>
      </c>
      <c r="K42" s="3">
        <f>'10_Clean_Meta'!K42</f>
        <v>1109.4000000000001</v>
      </c>
      <c r="L42">
        <f t="shared" si="0"/>
        <v>8.8163571562558621E-2</v>
      </c>
      <c r="M42" s="3">
        <f t="shared" si="1"/>
        <v>5.7446808510638298E-2</v>
      </c>
      <c r="N42" s="3">
        <f t="shared" si="2"/>
        <v>0.19311702127659575</v>
      </c>
      <c r="O42" s="3">
        <f t="shared" si="3"/>
        <v>3.3616666666666668</v>
      </c>
      <c r="P42">
        <f t="shared" si="4"/>
        <v>6.1113865476780704</v>
      </c>
    </row>
    <row r="43" spans="1:16">
      <c r="A43" s="1">
        <f>'10_Clean_Meta'!A43</f>
        <v>46034</v>
      </c>
      <c r="B43" s="3" t="str">
        <f>'10_Clean_Meta'!B43</f>
        <v>Meta</v>
      </c>
      <c r="C43" s="3" t="str">
        <f>'10_Clean_Meta'!C43</f>
        <v>Campaign_C</v>
      </c>
      <c r="D43" s="3" t="str">
        <f>'10_Clean_Meta'!D43</f>
        <v>Prospecting</v>
      </c>
      <c r="E43" s="3" t="str">
        <f>'10_Clean_Meta'!E43</f>
        <v>Creative_2</v>
      </c>
      <c r="F43" s="3">
        <f>'10_Clean_Meta'!F43</f>
        <v>157.9</v>
      </c>
      <c r="G43" s="3">
        <f>'10_Clean_Meta'!G43</f>
        <v>17964</v>
      </c>
      <c r="H43" s="3">
        <f>'10_Clean_Meta'!H43</f>
        <v>618</v>
      </c>
      <c r="I43" s="3">
        <f>'10_Clean_Meta'!I43</f>
        <v>105</v>
      </c>
      <c r="J43" s="3">
        <f>'10_Clean_Meta'!J43</f>
        <v>44</v>
      </c>
      <c r="K43" s="3">
        <f>'10_Clean_Meta'!K43</f>
        <v>1468.98</v>
      </c>
      <c r="L43">
        <f t="shared" si="0"/>
        <v>3.4402137608550432E-2</v>
      </c>
      <c r="M43" s="3">
        <f t="shared" si="1"/>
        <v>7.1197411003236247E-2</v>
      </c>
      <c r="N43" s="3">
        <f t="shared" si="2"/>
        <v>0.25550161812297734</v>
      </c>
      <c r="O43" s="3">
        <f t="shared" si="3"/>
        <v>3.5886363636363638</v>
      </c>
      <c r="P43">
        <f t="shared" si="4"/>
        <v>9.3032298923369225</v>
      </c>
    </row>
    <row r="44" spans="1:16">
      <c r="A44" s="1">
        <f>'10_Clean_Meta'!A44</f>
        <v>46035</v>
      </c>
      <c r="B44" s="3" t="str">
        <f>'10_Clean_Meta'!B44</f>
        <v>Meta</v>
      </c>
      <c r="C44" s="3" t="str">
        <f>'10_Clean_Meta'!C44</f>
        <v>Campaign_C</v>
      </c>
      <c r="D44" s="3" t="str">
        <f>'10_Clean_Meta'!D44</f>
        <v>Prospecting</v>
      </c>
      <c r="E44" s="3" t="str">
        <f>'10_Clean_Meta'!E44</f>
        <v>Creative_3</v>
      </c>
      <c r="F44" s="3">
        <f>'10_Clean_Meta'!F44</f>
        <v>74.67</v>
      </c>
      <c r="G44" s="3">
        <f>'10_Clean_Meta'!G44</f>
        <v>16125</v>
      </c>
      <c r="H44" s="3">
        <f>'10_Clean_Meta'!H44</f>
        <v>1112</v>
      </c>
      <c r="I44" s="3">
        <f>'10_Clean_Meta'!I44</f>
        <v>45</v>
      </c>
      <c r="J44" s="3">
        <f>'10_Clean_Meta'!J44</f>
        <v>5</v>
      </c>
      <c r="K44" s="3">
        <f>'10_Clean_Meta'!K44</f>
        <v>218.45</v>
      </c>
      <c r="L44">
        <f t="shared" si="0"/>
        <v>6.8961240310077526E-2</v>
      </c>
      <c r="M44" s="3">
        <f t="shared" si="1"/>
        <v>4.4964028776978415E-3</v>
      </c>
      <c r="N44" s="3">
        <f t="shared" si="2"/>
        <v>6.7149280575539566E-2</v>
      </c>
      <c r="O44" s="3">
        <f t="shared" si="3"/>
        <v>14.934000000000001</v>
      </c>
      <c r="P44">
        <f t="shared" si="4"/>
        <v>2.925539038435784</v>
      </c>
    </row>
    <row r="45" spans="1:16">
      <c r="A45" s="1">
        <f>'10_Clean_Meta'!A45</f>
        <v>46036</v>
      </c>
      <c r="B45" s="3" t="str">
        <f>'10_Clean_Meta'!B45</f>
        <v>Meta</v>
      </c>
      <c r="C45" s="3" t="str">
        <f>'10_Clean_Meta'!C45</f>
        <v>Campaign_A</v>
      </c>
      <c r="D45" s="3" t="str">
        <f>'10_Clean_Meta'!D45</f>
        <v>Prospecting</v>
      </c>
      <c r="E45" s="3" t="str">
        <f>'10_Clean_Meta'!E45</f>
        <v>Creative_1</v>
      </c>
      <c r="F45" s="3">
        <f>'10_Clean_Meta'!F45</f>
        <v>222.29</v>
      </c>
      <c r="G45" s="3">
        <f>'10_Clean_Meta'!G45</f>
        <v>9130</v>
      </c>
      <c r="H45" s="3">
        <f>'10_Clean_Meta'!H45</f>
        <v>158</v>
      </c>
      <c r="I45" s="3">
        <f>'10_Clean_Meta'!I45</f>
        <v>104</v>
      </c>
      <c r="J45" s="3">
        <f>'10_Clean_Meta'!J45</f>
        <v>30</v>
      </c>
      <c r="K45" s="3">
        <f>'10_Clean_Meta'!K45</f>
        <v>380.7</v>
      </c>
      <c r="L45">
        <f t="shared" si="0"/>
        <v>1.7305585980284775E-2</v>
      </c>
      <c r="M45" s="3">
        <f t="shared" si="1"/>
        <v>0.189873417721519</v>
      </c>
      <c r="N45" s="3">
        <f t="shared" si="2"/>
        <v>1.4068987341772152</v>
      </c>
      <c r="O45" s="3">
        <f t="shared" si="3"/>
        <v>7.4096666666666664</v>
      </c>
      <c r="P45">
        <f t="shared" si="4"/>
        <v>1.712627648567187</v>
      </c>
    </row>
    <row r="46" spans="1:16">
      <c r="A46" s="1">
        <f>'10_Clean_Meta'!A46</f>
        <v>46037</v>
      </c>
      <c r="B46" s="3" t="str">
        <f>'10_Clean_Meta'!B46</f>
        <v>Meta</v>
      </c>
      <c r="C46" s="3" t="str">
        <f>'10_Clean_Meta'!C46</f>
        <v>Campaign_A</v>
      </c>
      <c r="D46" s="3" t="str">
        <f>'10_Clean_Meta'!D46</f>
        <v>Retargeting</v>
      </c>
      <c r="E46" s="3" t="str">
        <f>'10_Clean_Meta'!E46</f>
        <v>Creative_1</v>
      </c>
      <c r="F46" s="3">
        <f>'10_Clean_Meta'!F46</f>
        <v>98.62</v>
      </c>
      <c r="G46" s="3">
        <f>'10_Clean_Meta'!G46</f>
        <v>2679</v>
      </c>
      <c r="H46" s="3">
        <f>'10_Clean_Meta'!H46</f>
        <v>1115</v>
      </c>
      <c r="I46" s="3">
        <f>'10_Clean_Meta'!I46</f>
        <v>68</v>
      </c>
      <c r="J46" s="3">
        <f>'10_Clean_Meta'!J46</f>
        <v>30</v>
      </c>
      <c r="K46" s="3">
        <f>'10_Clean_Meta'!K46</f>
        <v>352.92</v>
      </c>
      <c r="L46">
        <f t="shared" si="0"/>
        <v>0.41620007465472192</v>
      </c>
      <c r="M46" s="3">
        <f t="shared" si="1"/>
        <v>2.6905829596412557E-2</v>
      </c>
      <c r="N46" s="3">
        <f t="shared" si="2"/>
        <v>8.8448430493273542E-2</v>
      </c>
      <c r="O46" s="3">
        <f t="shared" si="3"/>
        <v>3.2873333333333337</v>
      </c>
      <c r="P46">
        <f t="shared" si="4"/>
        <v>3.5785844656256338</v>
      </c>
    </row>
    <row r="47" spans="1:16">
      <c r="A47" s="1">
        <f>'10_Clean_Meta'!A47</f>
        <v>46038</v>
      </c>
      <c r="B47" s="3" t="str">
        <f>'10_Clean_Meta'!B47</f>
        <v>Meta</v>
      </c>
      <c r="C47" s="3" t="str">
        <f>'10_Clean_Meta'!C47</f>
        <v>Campaign_C</v>
      </c>
      <c r="D47" s="3" t="str">
        <f>'10_Clean_Meta'!D47</f>
        <v>Prospecting</v>
      </c>
      <c r="E47" s="3" t="str">
        <f>'10_Clean_Meta'!E47</f>
        <v>Creative_1</v>
      </c>
      <c r="F47" s="3">
        <f>'10_Clean_Meta'!F47</f>
        <v>26.81</v>
      </c>
      <c r="G47" s="3">
        <f>'10_Clean_Meta'!G47</f>
        <v>4506</v>
      </c>
      <c r="H47" s="3">
        <f>'10_Clean_Meta'!H47</f>
        <v>984</v>
      </c>
      <c r="I47" s="3">
        <f>'10_Clean_Meta'!I47</f>
        <v>31</v>
      </c>
      <c r="J47" s="3">
        <f>'10_Clean_Meta'!J47</f>
        <v>59</v>
      </c>
      <c r="K47" s="3">
        <f>'10_Clean_Meta'!K47</f>
        <v>1405.61</v>
      </c>
      <c r="L47">
        <f t="shared" si="0"/>
        <v>0.21837549933422104</v>
      </c>
      <c r="M47" s="3">
        <f t="shared" si="1"/>
        <v>5.9959349593495935E-2</v>
      </c>
      <c r="N47" s="3">
        <f t="shared" si="2"/>
        <v>2.7245934959349592E-2</v>
      </c>
      <c r="O47" s="3">
        <f t="shared" si="3"/>
        <v>0.45440677966101695</v>
      </c>
      <c r="P47">
        <f t="shared" si="4"/>
        <v>52.428571428571431</v>
      </c>
    </row>
    <row r="48" spans="1:16">
      <c r="A48" s="1">
        <f>'10_Clean_Meta'!A48</f>
        <v>46039</v>
      </c>
      <c r="B48" s="3" t="str">
        <f>'10_Clean_Meta'!B48</f>
        <v>Meta</v>
      </c>
      <c r="C48" s="3" t="str">
        <f>'10_Clean_Meta'!C48</f>
        <v>Campaign_B</v>
      </c>
      <c r="D48" s="3" t="str">
        <f>'10_Clean_Meta'!D48</f>
        <v>Prospecting</v>
      </c>
      <c r="E48" s="3" t="str">
        <f>'10_Clean_Meta'!E48</f>
        <v>Creative_3</v>
      </c>
      <c r="F48" s="3">
        <f>'10_Clean_Meta'!F48</f>
        <v>200.73</v>
      </c>
      <c r="G48" s="3">
        <f>'10_Clean_Meta'!G48</f>
        <v>14284</v>
      </c>
      <c r="H48" s="3">
        <f>'10_Clean_Meta'!H48</f>
        <v>447</v>
      </c>
      <c r="I48" s="3">
        <f>'10_Clean_Meta'!I48</f>
        <v>67</v>
      </c>
      <c r="J48" s="3">
        <f>'10_Clean_Meta'!J48</f>
        <v>57</v>
      </c>
      <c r="K48" s="3">
        <f>'10_Clean_Meta'!K48</f>
        <v>1704.44</v>
      </c>
      <c r="L48">
        <f t="shared" si="0"/>
        <v>3.1293755250630079E-2</v>
      </c>
      <c r="M48" s="3">
        <f t="shared" si="1"/>
        <v>0.12751677852348994</v>
      </c>
      <c r="N48" s="3">
        <f t="shared" si="2"/>
        <v>0.44906040268456371</v>
      </c>
      <c r="O48" s="3">
        <f t="shared" si="3"/>
        <v>3.5215789473684209</v>
      </c>
      <c r="P48">
        <f t="shared" si="4"/>
        <v>8.4912070941065121</v>
      </c>
    </row>
    <row r="49" spans="1:16">
      <c r="A49" s="1">
        <f>'10_Clean_Meta'!A49</f>
        <v>46040</v>
      </c>
      <c r="B49" s="3" t="str">
        <f>'10_Clean_Meta'!B49</f>
        <v>Meta</v>
      </c>
      <c r="C49" s="3" t="str">
        <f>'10_Clean_Meta'!C49</f>
        <v>Campaign_A</v>
      </c>
      <c r="D49" s="3" t="str">
        <f>'10_Clean_Meta'!D49</f>
        <v>Retargeting</v>
      </c>
      <c r="E49" s="3" t="str">
        <f>'10_Clean_Meta'!E49</f>
        <v>Creative_2</v>
      </c>
      <c r="F49" s="3">
        <f>'10_Clean_Meta'!F49</f>
        <v>69.59</v>
      </c>
      <c r="G49" s="3">
        <f>'10_Clean_Meta'!G49</f>
        <v>8253</v>
      </c>
      <c r="H49" s="3">
        <f>'10_Clean_Meta'!H49</f>
        <v>683</v>
      </c>
      <c r="I49" s="3">
        <f>'10_Clean_Meta'!I49</f>
        <v>21</v>
      </c>
      <c r="J49" s="3">
        <f>'10_Clean_Meta'!J49</f>
        <v>17</v>
      </c>
      <c r="K49" s="3">
        <f>'10_Clean_Meta'!K49</f>
        <v>1524.27</v>
      </c>
      <c r="L49">
        <f t="shared" si="0"/>
        <v>8.2757785047861382E-2</v>
      </c>
      <c r="M49" s="3">
        <f t="shared" si="1"/>
        <v>2.4890190336749635E-2</v>
      </c>
      <c r="N49" s="3">
        <f t="shared" si="2"/>
        <v>0.1018887262079063</v>
      </c>
      <c r="O49" s="3">
        <f t="shared" si="3"/>
        <v>4.0935294117647061</v>
      </c>
      <c r="P49">
        <f t="shared" si="4"/>
        <v>21.903578100301765</v>
      </c>
    </row>
    <row r="50" spans="1:16">
      <c r="A50" s="1">
        <f>'10_Clean_Meta'!A50</f>
        <v>46041</v>
      </c>
      <c r="B50" s="3" t="str">
        <f>'10_Clean_Meta'!B50</f>
        <v>Meta</v>
      </c>
      <c r="C50" s="3" t="str">
        <f>'10_Clean_Meta'!C50</f>
        <v>Campaign_B</v>
      </c>
      <c r="D50" s="3" t="str">
        <f>'10_Clean_Meta'!D50</f>
        <v>Prospecting</v>
      </c>
      <c r="E50" s="3" t="str">
        <f>'10_Clean_Meta'!E50</f>
        <v>Creative_2</v>
      </c>
      <c r="F50" s="3">
        <f>'10_Clean_Meta'!F50</f>
        <v>283.33</v>
      </c>
      <c r="G50" s="3">
        <f>'10_Clean_Meta'!G50</f>
        <v>10435</v>
      </c>
      <c r="H50" s="3">
        <f>'10_Clean_Meta'!H50</f>
        <v>782</v>
      </c>
      <c r="I50" s="3">
        <f>'10_Clean_Meta'!I50</f>
        <v>77</v>
      </c>
      <c r="J50" s="3">
        <f>'10_Clean_Meta'!J50</f>
        <v>48</v>
      </c>
      <c r="K50" s="3">
        <f>'10_Clean_Meta'!K50</f>
        <v>157.9</v>
      </c>
      <c r="L50">
        <f t="shared" si="0"/>
        <v>7.4940105414470534E-2</v>
      </c>
      <c r="M50" s="3">
        <f t="shared" si="1"/>
        <v>6.1381074168797956E-2</v>
      </c>
      <c r="N50" s="3">
        <f t="shared" si="2"/>
        <v>0.36231457800511507</v>
      </c>
      <c r="O50" s="3">
        <f t="shared" si="3"/>
        <v>5.902708333333333</v>
      </c>
      <c r="P50">
        <f t="shared" si="4"/>
        <v>0.55730067412557804</v>
      </c>
    </row>
    <row r="51" spans="1:16">
      <c r="A51" s="1">
        <f>'10_Clean_Meta'!A51</f>
        <v>46042</v>
      </c>
      <c r="B51" s="3" t="str">
        <f>'10_Clean_Meta'!B51</f>
        <v>Meta</v>
      </c>
      <c r="C51" s="3" t="str">
        <f>'10_Clean_Meta'!C51</f>
        <v>Campaign_B</v>
      </c>
      <c r="D51" s="3" t="str">
        <f>'10_Clean_Meta'!D51</f>
        <v>Prospecting</v>
      </c>
      <c r="E51" s="3" t="str">
        <f>'10_Clean_Meta'!E51</f>
        <v>Creative_1</v>
      </c>
      <c r="F51" s="3">
        <f>'10_Clean_Meta'!F51</f>
        <v>287.10000000000002</v>
      </c>
      <c r="G51" s="3">
        <f>'10_Clean_Meta'!G51</f>
        <v>12310</v>
      </c>
      <c r="H51" s="3">
        <f>'10_Clean_Meta'!H51</f>
        <v>284</v>
      </c>
      <c r="I51" s="3">
        <f>'10_Clean_Meta'!I51</f>
        <v>37</v>
      </c>
      <c r="J51" s="3">
        <f>'10_Clean_Meta'!J51</f>
        <v>47</v>
      </c>
      <c r="K51" s="3">
        <f>'10_Clean_Meta'!K51</f>
        <v>1747.71</v>
      </c>
      <c r="L51">
        <f t="shared" si="0"/>
        <v>2.307067424857839E-2</v>
      </c>
      <c r="M51" s="3">
        <f t="shared" si="1"/>
        <v>0.16549295774647887</v>
      </c>
      <c r="N51" s="3">
        <f t="shared" si="2"/>
        <v>1.0109154929577466</v>
      </c>
      <c r="O51" s="3">
        <f t="shared" si="3"/>
        <v>6.1085106382978731</v>
      </c>
      <c r="P51">
        <f t="shared" si="4"/>
        <v>6.087460815047022</v>
      </c>
    </row>
    <row r="52" spans="1:16">
      <c r="A52" s="1">
        <f>'10_Clean_Meta'!A52</f>
        <v>46043</v>
      </c>
      <c r="B52" s="3" t="str">
        <f>'10_Clean_Meta'!B52</f>
        <v>Meta</v>
      </c>
      <c r="C52" s="3" t="str">
        <f>'10_Clean_Meta'!C52</f>
        <v>Campaign_B</v>
      </c>
      <c r="D52" s="3" t="str">
        <f>'10_Clean_Meta'!D52</f>
        <v>Prospecting</v>
      </c>
      <c r="E52" s="3" t="str">
        <f>'10_Clean_Meta'!E52</f>
        <v>Creative_2</v>
      </c>
      <c r="F52" s="3">
        <f>'10_Clean_Meta'!F52</f>
        <v>276.16000000000003</v>
      </c>
      <c r="G52" s="3">
        <f>'10_Clean_Meta'!G52</f>
        <v>14296</v>
      </c>
      <c r="H52" s="3">
        <f>'10_Clean_Meta'!H52</f>
        <v>707</v>
      </c>
      <c r="I52" s="3">
        <f>'10_Clean_Meta'!I52</f>
        <v>88</v>
      </c>
      <c r="J52" s="3">
        <f>'10_Clean_Meta'!J52</f>
        <v>23</v>
      </c>
      <c r="K52" s="3">
        <f>'10_Clean_Meta'!K52</f>
        <v>772.88</v>
      </c>
      <c r="L52">
        <f t="shared" si="0"/>
        <v>4.9454392837157246E-2</v>
      </c>
      <c r="M52" s="3">
        <f t="shared" si="1"/>
        <v>3.2531824611032531E-2</v>
      </c>
      <c r="N52" s="3">
        <f t="shared" si="2"/>
        <v>0.39060820367751065</v>
      </c>
      <c r="O52" s="3">
        <f t="shared" si="3"/>
        <v>12.006956521739131</v>
      </c>
      <c r="P52">
        <f t="shared" si="4"/>
        <v>2.7986674391657007</v>
      </c>
    </row>
    <row r="53" spans="1:16">
      <c r="A53" s="1">
        <f>'10_Clean_Meta'!A53</f>
        <v>46044</v>
      </c>
      <c r="B53" s="3" t="str">
        <f>'10_Clean_Meta'!B53</f>
        <v>Meta</v>
      </c>
      <c r="C53" s="3" t="str">
        <f>'10_Clean_Meta'!C53</f>
        <v>Campaign_A</v>
      </c>
      <c r="D53" s="3" t="str">
        <f>'10_Clean_Meta'!D53</f>
        <v>Prospecting</v>
      </c>
      <c r="E53" s="3" t="str">
        <f>'10_Clean_Meta'!E53</f>
        <v>Creative_2</v>
      </c>
      <c r="F53" s="3">
        <f>'10_Clean_Meta'!F53</f>
        <v>123.64</v>
      </c>
      <c r="G53" s="3">
        <f>'10_Clean_Meta'!G53</f>
        <v>19525</v>
      </c>
      <c r="H53" s="3">
        <f>'10_Clean_Meta'!H53</f>
        <v>800</v>
      </c>
      <c r="I53" s="3">
        <f>'10_Clean_Meta'!I53</f>
        <v>81</v>
      </c>
      <c r="J53" s="3">
        <f>'10_Clean_Meta'!J53</f>
        <v>15</v>
      </c>
      <c r="K53" s="3">
        <f>'10_Clean_Meta'!K53</f>
        <v>854.61</v>
      </c>
      <c r="L53">
        <f t="shared" si="0"/>
        <v>4.0973111395646605E-2</v>
      </c>
      <c r="M53" s="3">
        <f t="shared" si="1"/>
        <v>1.8749999999999999E-2</v>
      </c>
      <c r="N53" s="3">
        <f t="shared" si="2"/>
        <v>0.15454999999999999</v>
      </c>
      <c r="O53" s="3">
        <f t="shared" si="3"/>
        <v>8.2426666666666666</v>
      </c>
      <c r="P53">
        <f t="shared" si="4"/>
        <v>6.9120834681332903</v>
      </c>
    </row>
    <row r="54" spans="1:16">
      <c r="A54" s="1">
        <f>'10_Clean_Meta'!A54</f>
        <v>46045</v>
      </c>
      <c r="B54" s="3" t="str">
        <f>'10_Clean_Meta'!B54</f>
        <v>Meta</v>
      </c>
      <c r="C54" s="3" t="str">
        <f>'10_Clean_Meta'!C54</f>
        <v>Campaign_B</v>
      </c>
      <c r="D54" s="3" t="str">
        <f>'10_Clean_Meta'!D54</f>
        <v>Prospecting</v>
      </c>
      <c r="E54" s="3" t="str">
        <f>'10_Clean_Meta'!E54</f>
        <v>Creative_3</v>
      </c>
      <c r="F54" s="3">
        <f>'10_Clean_Meta'!F54</f>
        <v>24.33</v>
      </c>
      <c r="G54" s="3">
        <f>'10_Clean_Meta'!G54</f>
        <v>14245</v>
      </c>
      <c r="H54" s="3">
        <f>'10_Clean_Meta'!H54</f>
        <v>637</v>
      </c>
      <c r="I54" s="3">
        <f>'10_Clean_Meta'!I54</f>
        <v>96</v>
      </c>
      <c r="J54" s="3">
        <f>'10_Clean_Meta'!J54</f>
        <v>37</v>
      </c>
      <c r="K54" s="3">
        <f>'10_Clean_Meta'!K54</f>
        <v>299.25</v>
      </c>
      <c r="L54">
        <f t="shared" si="0"/>
        <v>4.4717444717444717E-2</v>
      </c>
      <c r="M54" s="3">
        <f t="shared" si="1"/>
        <v>5.8084772370486655E-2</v>
      </c>
      <c r="N54" s="3">
        <f t="shared" si="2"/>
        <v>3.8194662480376763E-2</v>
      </c>
      <c r="O54" s="3">
        <f t="shared" si="3"/>
        <v>0.65756756756756751</v>
      </c>
      <c r="P54">
        <f t="shared" si="4"/>
        <v>12.299630086313195</v>
      </c>
    </row>
    <row r="55" spans="1:16">
      <c r="A55" s="1">
        <f>'10_Clean_Meta'!A55</f>
        <v>46046</v>
      </c>
      <c r="B55" s="3" t="str">
        <f>'10_Clean_Meta'!B55</f>
        <v>Meta</v>
      </c>
      <c r="C55" s="3" t="str">
        <f>'10_Clean_Meta'!C55</f>
        <v>Campaign_A</v>
      </c>
      <c r="D55" s="3" t="str">
        <f>'10_Clean_Meta'!D55</f>
        <v>Retargeting</v>
      </c>
      <c r="E55" s="3" t="str">
        <f>'10_Clean_Meta'!E55</f>
        <v>Creative_3</v>
      </c>
      <c r="F55" s="3">
        <f>'10_Clean_Meta'!F55</f>
        <v>279.93</v>
      </c>
      <c r="G55" s="3">
        <f>'10_Clean_Meta'!G55</f>
        <v>12151</v>
      </c>
      <c r="H55" s="3">
        <f>'10_Clean_Meta'!H55</f>
        <v>1082</v>
      </c>
      <c r="I55" s="3">
        <f>'10_Clean_Meta'!I55</f>
        <v>116</v>
      </c>
      <c r="J55" s="3">
        <f>'10_Clean_Meta'!J55</f>
        <v>21</v>
      </c>
      <c r="K55" s="3">
        <f>'10_Clean_Meta'!K55</f>
        <v>1501.07</v>
      </c>
      <c r="L55">
        <f t="shared" si="0"/>
        <v>8.9046169039585218E-2</v>
      </c>
      <c r="M55" s="3">
        <f t="shared" si="1"/>
        <v>1.9408502772643253E-2</v>
      </c>
      <c r="N55" s="3">
        <f t="shared" si="2"/>
        <v>0.2587153419593346</v>
      </c>
      <c r="O55" s="3">
        <f t="shared" si="3"/>
        <v>13.33</v>
      </c>
      <c r="P55">
        <f t="shared" si="4"/>
        <v>5.3623048619297675</v>
      </c>
    </row>
    <row r="56" spans="1:16">
      <c r="A56" s="1">
        <f>'10_Clean_Meta'!A56</f>
        <v>46047</v>
      </c>
      <c r="B56" s="3" t="str">
        <f>'10_Clean_Meta'!B56</f>
        <v>Meta</v>
      </c>
      <c r="C56" s="3" t="str">
        <f>'10_Clean_Meta'!C56</f>
        <v>Campaign_B</v>
      </c>
      <c r="D56" s="3" t="str">
        <f>'10_Clean_Meta'!D56</f>
        <v>Retargeting</v>
      </c>
      <c r="E56" s="3" t="str">
        <f>'10_Clean_Meta'!E56</f>
        <v>Creative_3</v>
      </c>
      <c r="F56" s="3">
        <f>'10_Clean_Meta'!F56</f>
        <v>139.88999999999999</v>
      </c>
      <c r="G56" s="3">
        <f>'10_Clean_Meta'!G56</f>
        <v>11457</v>
      </c>
      <c r="H56" s="3">
        <f>'10_Clean_Meta'!H56</f>
        <v>1147</v>
      </c>
      <c r="I56" s="3">
        <f>'10_Clean_Meta'!I56</f>
        <v>33</v>
      </c>
      <c r="J56" s="3">
        <f>'10_Clean_Meta'!J56</f>
        <v>14</v>
      </c>
      <c r="K56" s="3">
        <f>'10_Clean_Meta'!K56</f>
        <v>446.34</v>
      </c>
      <c r="L56">
        <f t="shared" si="0"/>
        <v>0.10011346774897442</v>
      </c>
      <c r="M56" s="3">
        <f t="shared" si="1"/>
        <v>1.2205754141238012E-2</v>
      </c>
      <c r="N56" s="3">
        <f t="shared" si="2"/>
        <v>0.12196163905841324</v>
      </c>
      <c r="O56" s="3">
        <f t="shared" si="3"/>
        <v>9.9921428571428557</v>
      </c>
      <c r="P56">
        <f t="shared" si="4"/>
        <v>3.190649796268497</v>
      </c>
    </row>
    <row r="57" spans="1:16">
      <c r="A57" s="1">
        <f>'10_Clean_Meta'!A57</f>
        <v>46048</v>
      </c>
      <c r="B57" s="3" t="str">
        <f>'10_Clean_Meta'!B57</f>
        <v>Meta</v>
      </c>
      <c r="C57" s="3" t="str">
        <f>'10_Clean_Meta'!C57</f>
        <v>Campaign_C</v>
      </c>
      <c r="D57" s="3" t="str">
        <f>'10_Clean_Meta'!D57</f>
        <v>Retargeting</v>
      </c>
      <c r="E57" s="3" t="str">
        <f>'10_Clean_Meta'!E57</f>
        <v>Creative_3</v>
      </c>
      <c r="F57" s="3">
        <f>'10_Clean_Meta'!F57</f>
        <v>290.66000000000003</v>
      </c>
      <c r="G57" s="3">
        <f>'10_Clean_Meta'!G57</f>
        <v>3479</v>
      </c>
      <c r="H57" s="3">
        <f>'10_Clean_Meta'!H57</f>
        <v>1003</v>
      </c>
      <c r="I57" s="3">
        <f>'10_Clean_Meta'!I57</f>
        <v>17</v>
      </c>
      <c r="J57" s="3">
        <f>'10_Clean_Meta'!J57</f>
        <v>2</v>
      </c>
      <c r="K57" s="3">
        <f>'10_Clean_Meta'!K57</f>
        <v>1171.53</v>
      </c>
      <c r="L57">
        <f t="shared" si="0"/>
        <v>0.28830123598735269</v>
      </c>
      <c r="M57" s="3">
        <f t="shared" si="1"/>
        <v>1.9940179461615153E-3</v>
      </c>
      <c r="N57" s="3">
        <f t="shared" si="2"/>
        <v>0.28979062811565309</v>
      </c>
      <c r="O57" s="3">
        <f t="shared" si="3"/>
        <v>145.33000000000001</v>
      </c>
      <c r="P57">
        <f t="shared" si="4"/>
        <v>4.0305855638890797</v>
      </c>
    </row>
    <row r="58" spans="1:16">
      <c r="A58" s="1">
        <f>'10_Clean_Meta'!A58</f>
        <v>46049</v>
      </c>
      <c r="B58" s="3" t="str">
        <f>'10_Clean_Meta'!B58</f>
        <v>Meta</v>
      </c>
      <c r="C58" s="3" t="str">
        <f>'10_Clean_Meta'!C58</f>
        <v>Campaign_C</v>
      </c>
      <c r="D58" s="3" t="str">
        <f>'10_Clean_Meta'!D58</f>
        <v>Prospecting</v>
      </c>
      <c r="E58" s="3" t="str">
        <f>'10_Clean_Meta'!E58</f>
        <v>Creative_1</v>
      </c>
      <c r="F58" s="3">
        <f>'10_Clean_Meta'!F58</f>
        <v>289.81</v>
      </c>
      <c r="G58" s="3">
        <f>'10_Clean_Meta'!G58</f>
        <v>5452</v>
      </c>
      <c r="H58" s="3">
        <f>'10_Clean_Meta'!H58</f>
        <v>541</v>
      </c>
      <c r="I58" s="3">
        <f>'10_Clean_Meta'!I58</f>
        <v>50</v>
      </c>
      <c r="J58" s="3">
        <f>'10_Clean_Meta'!J58</f>
        <v>11</v>
      </c>
      <c r="K58" s="3">
        <f>'10_Clean_Meta'!K58</f>
        <v>1697.35</v>
      </c>
      <c r="L58">
        <f t="shared" si="0"/>
        <v>9.9229640498899485E-2</v>
      </c>
      <c r="M58" s="3">
        <f t="shared" si="1"/>
        <v>2.0332717190388171E-2</v>
      </c>
      <c r="N58" s="3">
        <f t="shared" si="2"/>
        <v>0.53569316081330864</v>
      </c>
      <c r="O58" s="3">
        <f t="shared" si="3"/>
        <v>26.346363636363638</v>
      </c>
      <c r="P58">
        <f t="shared" si="4"/>
        <v>5.8567682274593693</v>
      </c>
    </row>
    <row r="59" spans="1:16">
      <c r="A59" s="1">
        <f>'10_Clean_Meta'!A59</f>
        <v>46050</v>
      </c>
      <c r="B59" s="3" t="str">
        <f>'10_Clean_Meta'!B59</f>
        <v>Meta</v>
      </c>
      <c r="C59" s="3" t="str">
        <f>'10_Clean_Meta'!C59</f>
        <v>Campaign_A</v>
      </c>
      <c r="D59" s="3" t="str">
        <f>'10_Clean_Meta'!D59</f>
        <v>Prospecting</v>
      </c>
      <c r="E59" s="3" t="str">
        <f>'10_Clean_Meta'!E59</f>
        <v>Creative_3</v>
      </c>
      <c r="F59" s="3">
        <f>'10_Clean_Meta'!F59</f>
        <v>258.83999999999997</v>
      </c>
      <c r="G59" s="3">
        <f>'10_Clean_Meta'!G59</f>
        <v>6881</v>
      </c>
      <c r="H59" s="3">
        <f>'10_Clean_Meta'!H59</f>
        <v>962</v>
      </c>
      <c r="I59" s="3">
        <f>'10_Clean_Meta'!I59</f>
        <v>39</v>
      </c>
      <c r="J59" s="3">
        <f>'10_Clean_Meta'!J59</f>
        <v>51</v>
      </c>
      <c r="K59" s="3">
        <f>'10_Clean_Meta'!K59</f>
        <v>269.49</v>
      </c>
      <c r="L59">
        <f t="shared" si="0"/>
        <v>0.13980526086324663</v>
      </c>
      <c r="M59" s="3">
        <f t="shared" si="1"/>
        <v>5.3014553014553017E-2</v>
      </c>
      <c r="N59" s="3">
        <f t="shared" si="2"/>
        <v>0.26906444906444904</v>
      </c>
      <c r="O59" s="3">
        <f t="shared" si="3"/>
        <v>5.0752941176470587</v>
      </c>
      <c r="P59">
        <f t="shared" si="4"/>
        <v>1.0411451089476125</v>
      </c>
    </row>
    <row r="60" spans="1:16">
      <c r="A60" s="1">
        <f>'10_Clean_Meta'!A60</f>
        <v>46051</v>
      </c>
      <c r="B60" s="3" t="str">
        <f>'10_Clean_Meta'!B60</f>
        <v>Meta</v>
      </c>
      <c r="C60" s="3" t="str">
        <f>'10_Clean_Meta'!C60</f>
        <v>Campaign_C</v>
      </c>
      <c r="D60" s="3" t="str">
        <f>'10_Clean_Meta'!D60</f>
        <v>Prospecting</v>
      </c>
      <c r="E60" s="3" t="str">
        <f>'10_Clean_Meta'!E60</f>
        <v>Creative_2</v>
      </c>
      <c r="F60" s="3">
        <f>'10_Clean_Meta'!F60</f>
        <v>102.45</v>
      </c>
      <c r="G60" s="3">
        <f>'10_Clean_Meta'!G60</f>
        <v>15069</v>
      </c>
      <c r="H60" s="3">
        <f>'10_Clean_Meta'!H60</f>
        <v>219</v>
      </c>
      <c r="I60" s="3">
        <f>'10_Clean_Meta'!I60</f>
        <v>10</v>
      </c>
      <c r="J60" s="3">
        <f>'10_Clean_Meta'!J60</f>
        <v>39</v>
      </c>
      <c r="K60" s="3">
        <f>'10_Clean_Meta'!K60</f>
        <v>1117.1400000000001</v>
      </c>
      <c r="L60">
        <f t="shared" si="0"/>
        <v>1.4533147521401554E-2</v>
      </c>
      <c r="M60" s="3">
        <f t="shared" si="1"/>
        <v>0.17808219178082191</v>
      </c>
      <c r="N60" s="3">
        <f t="shared" si="2"/>
        <v>0.46780821917808219</v>
      </c>
      <c r="O60" s="3">
        <f t="shared" si="3"/>
        <v>2.6269230769230769</v>
      </c>
      <c r="P60">
        <f t="shared" si="4"/>
        <v>10.904245973645681</v>
      </c>
    </row>
    <row r="61" spans="1:16">
      <c r="A61" s="1">
        <f>'10_Clean_Meta'!A61</f>
        <v>46052</v>
      </c>
      <c r="B61" s="3" t="str">
        <f>'10_Clean_Meta'!B61</f>
        <v>Meta</v>
      </c>
      <c r="C61" s="3" t="str">
        <f>'10_Clean_Meta'!C61</f>
        <v>Campaign_C</v>
      </c>
      <c r="D61" s="3" t="str">
        <f>'10_Clean_Meta'!D61</f>
        <v>Retargeting</v>
      </c>
      <c r="E61" s="3" t="str">
        <f>'10_Clean_Meta'!E61</f>
        <v>Creative_1</v>
      </c>
      <c r="F61" s="3">
        <f>'10_Clean_Meta'!F61</f>
        <v>127.83</v>
      </c>
      <c r="G61" s="3">
        <f>'10_Clean_Meta'!G61</f>
        <v>3849</v>
      </c>
      <c r="H61" s="3">
        <f>'10_Clean_Meta'!H61</f>
        <v>995</v>
      </c>
      <c r="I61" s="3">
        <f>'10_Clean_Meta'!I61</f>
        <v>86</v>
      </c>
      <c r="J61" s="3">
        <f>'10_Clean_Meta'!J61</f>
        <v>38</v>
      </c>
      <c r="K61" s="3">
        <f>'10_Clean_Meta'!K61</f>
        <v>543.11</v>
      </c>
      <c r="L61">
        <f t="shared" si="0"/>
        <v>0.25850870355936606</v>
      </c>
      <c r="M61" s="3">
        <f t="shared" si="1"/>
        <v>3.819095477386935E-2</v>
      </c>
      <c r="N61" s="3">
        <f t="shared" si="2"/>
        <v>0.12847236180904523</v>
      </c>
      <c r="O61" s="3">
        <f t="shared" si="3"/>
        <v>3.3639473684210528</v>
      </c>
      <c r="P61">
        <f t="shared" si="4"/>
        <v>4.2486896659626066</v>
      </c>
    </row>
    <row r="62" spans="1:16">
      <c r="A62" s="1">
        <f>'10_Clean_Meta'!A62</f>
        <v>46023</v>
      </c>
      <c r="B62" s="3" t="str">
        <f>'10_Clean_Meta'!B62</f>
        <v>Meta</v>
      </c>
      <c r="C62" s="3" t="str">
        <f>'10_Clean_Meta'!C62</f>
        <v>Campaign_B</v>
      </c>
      <c r="D62" s="3" t="str">
        <f>'10_Clean_Meta'!D62</f>
        <v>Prospecting</v>
      </c>
      <c r="E62" s="3" t="str">
        <f>'10_Clean_Meta'!E62</f>
        <v>Creative_2</v>
      </c>
      <c r="F62" s="3">
        <f>'10_Clean_Meta'!F62</f>
        <v>258.32</v>
      </c>
      <c r="G62" s="3">
        <f>'10_Clean_Meta'!G62</f>
        <v>8390</v>
      </c>
      <c r="H62" s="3">
        <f>'10_Clean_Meta'!H62</f>
        <v>844</v>
      </c>
      <c r="I62" s="3">
        <f>'10_Clean_Meta'!I62</f>
        <v>119</v>
      </c>
      <c r="J62" s="3">
        <f>'10_Clean_Meta'!J62</f>
        <v>34</v>
      </c>
      <c r="K62" s="3">
        <f>'10_Clean_Meta'!K62</f>
        <v>751.56</v>
      </c>
      <c r="L62">
        <f t="shared" si="0"/>
        <v>0.10059594755661502</v>
      </c>
      <c r="M62" s="3">
        <f t="shared" si="1"/>
        <v>4.0284360189573459E-2</v>
      </c>
      <c r="N62" s="3">
        <f t="shared" si="2"/>
        <v>0.30606635071090049</v>
      </c>
      <c r="O62" s="3">
        <f t="shared" si="3"/>
        <v>7.5976470588235294</v>
      </c>
      <c r="P62">
        <f t="shared" si="4"/>
        <v>2.9094146794673272</v>
      </c>
    </row>
    <row r="63" spans="1:16">
      <c r="A63" s="1">
        <f>'10_Clean_Meta'!A63</f>
        <v>46024</v>
      </c>
      <c r="B63" s="3" t="str">
        <f>'10_Clean_Meta'!B63</f>
        <v>Meta</v>
      </c>
      <c r="C63" s="3" t="str">
        <f>'10_Clean_Meta'!C63</f>
        <v>Campaign_A</v>
      </c>
      <c r="D63" s="3" t="str">
        <f>'10_Clean_Meta'!D63</f>
        <v>Prospecting</v>
      </c>
      <c r="E63" s="3" t="str">
        <f>'10_Clean_Meta'!E63</f>
        <v>Creative_2</v>
      </c>
      <c r="F63" s="3">
        <f>'10_Clean_Meta'!F63</f>
        <v>108.74</v>
      </c>
      <c r="G63" s="3">
        <f>'10_Clean_Meta'!G63</f>
        <v>12922</v>
      </c>
      <c r="H63" s="3">
        <f>'10_Clean_Meta'!H63</f>
        <v>683</v>
      </c>
      <c r="I63" s="3">
        <f>'10_Clean_Meta'!I63</f>
        <v>73</v>
      </c>
      <c r="J63" s="3">
        <f>'10_Clean_Meta'!J63</f>
        <v>38</v>
      </c>
      <c r="K63" s="3">
        <f>'10_Clean_Meta'!K63</f>
        <v>1000.54</v>
      </c>
      <c r="L63">
        <f t="shared" si="0"/>
        <v>5.2855595109116235E-2</v>
      </c>
      <c r="M63" s="3">
        <f t="shared" si="1"/>
        <v>5.5636896046852125E-2</v>
      </c>
      <c r="N63" s="3">
        <f t="shared" si="2"/>
        <v>0.15920937042459735</v>
      </c>
      <c r="O63" s="3">
        <f t="shared" si="3"/>
        <v>2.8615789473684208</v>
      </c>
      <c r="P63">
        <f t="shared" si="4"/>
        <v>9.2012139047268722</v>
      </c>
    </row>
    <row r="64" spans="1:16">
      <c r="A64" s="1">
        <f>'10_Clean_Meta'!A64</f>
        <v>46025</v>
      </c>
      <c r="B64" s="3" t="str">
        <f>'10_Clean_Meta'!B64</f>
        <v>Meta</v>
      </c>
      <c r="C64" s="3" t="str">
        <f>'10_Clean_Meta'!C64</f>
        <v>Campaign_B</v>
      </c>
      <c r="D64" s="3" t="str">
        <f>'10_Clean_Meta'!D64</f>
        <v>Retargeting</v>
      </c>
      <c r="E64" s="3" t="str">
        <f>'10_Clean_Meta'!E64</f>
        <v>Creative_2</v>
      </c>
      <c r="F64" s="3">
        <f>'10_Clean_Meta'!F64</f>
        <v>67.459999999999994</v>
      </c>
      <c r="G64" s="3">
        <f>'10_Clean_Meta'!G64</f>
        <v>3489</v>
      </c>
      <c r="H64" s="3">
        <f>'10_Clean_Meta'!H64</f>
        <v>78</v>
      </c>
      <c r="I64" s="3">
        <f>'10_Clean_Meta'!I64</f>
        <v>51</v>
      </c>
      <c r="J64" s="3">
        <f>'10_Clean_Meta'!J64</f>
        <v>50</v>
      </c>
      <c r="K64" s="3">
        <f>'10_Clean_Meta'!K64</f>
        <v>774.7</v>
      </c>
      <c r="L64">
        <f t="shared" si="0"/>
        <v>2.235597592433362E-2</v>
      </c>
      <c r="M64" s="3">
        <f t="shared" si="1"/>
        <v>0.64102564102564108</v>
      </c>
      <c r="N64" s="3">
        <f t="shared" si="2"/>
        <v>0.86487179487179477</v>
      </c>
      <c r="O64" s="3">
        <f t="shared" si="3"/>
        <v>1.3492</v>
      </c>
      <c r="P64">
        <f t="shared" si="4"/>
        <v>11.483842276904834</v>
      </c>
    </row>
    <row r="65" spans="1:16">
      <c r="A65" s="1">
        <f>'10_Clean_Meta'!A65</f>
        <v>46026</v>
      </c>
      <c r="B65" s="3" t="str">
        <f>'10_Clean_Meta'!B65</f>
        <v>Meta</v>
      </c>
      <c r="C65" s="3" t="str">
        <f>'10_Clean_Meta'!C65</f>
        <v>Campaign_B</v>
      </c>
      <c r="D65" s="3" t="str">
        <f>'10_Clean_Meta'!D65</f>
        <v>Prospecting</v>
      </c>
      <c r="E65" s="3" t="str">
        <f>'10_Clean_Meta'!E65</f>
        <v>Creative_3</v>
      </c>
      <c r="F65" s="3">
        <f>'10_Clean_Meta'!F65</f>
        <v>175.9</v>
      </c>
      <c r="G65" s="3">
        <f>'10_Clean_Meta'!G65</f>
        <v>10823</v>
      </c>
      <c r="H65" s="3">
        <f>'10_Clean_Meta'!H65</f>
        <v>388</v>
      </c>
      <c r="I65" s="3">
        <f>'10_Clean_Meta'!I65</f>
        <v>29</v>
      </c>
      <c r="J65" s="3">
        <f>'10_Clean_Meta'!J65</f>
        <v>34</v>
      </c>
      <c r="K65" s="3">
        <f>'10_Clean_Meta'!K65</f>
        <v>1332.76</v>
      </c>
      <c r="L65">
        <f t="shared" si="0"/>
        <v>3.5849579599002125E-2</v>
      </c>
      <c r="M65" s="3">
        <f t="shared" si="1"/>
        <v>8.7628865979381437E-2</v>
      </c>
      <c r="N65" s="3">
        <f t="shared" si="2"/>
        <v>0.45335051546391752</v>
      </c>
      <c r="O65" s="3">
        <f t="shared" si="3"/>
        <v>5.1735294117647062</v>
      </c>
      <c r="P65">
        <f t="shared" si="4"/>
        <v>7.5768050028425238</v>
      </c>
    </row>
    <row r="66" spans="1:16">
      <c r="A66" s="1">
        <f>'10_Clean_Meta'!A66</f>
        <v>46027</v>
      </c>
      <c r="B66" s="3" t="str">
        <f>'10_Clean_Meta'!B66</f>
        <v>Meta</v>
      </c>
      <c r="C66" s="3" t="str">
        <f>'10_Clean_Meta'!C66</f>
        <v>Campaign_B</v>
      </c>
      <c r="D66" s="3" t="str">
        <f>'10_Clean_Meta'!D66</f>
        <v>Retargeting</v>
      </c>
      <c r="E66" s="3" t="str">
        <f>'10_Clean_Meta'!E66</f>
        <v>Creative_3</v>
      </c>
      <c r="F66" s="3">
        <f>'10_Clean_Meta'!F66</f>
        <v>282.12</v>
      </c>
      <c r="G66" s="3">
        <f>'10_Clean_Meta'!G66</f>
        <v>10207</v>
      </c>
      <c r="H66" s="3">
        <f>'10_Clean_Meta'!H66</f>
        <v>549</v>
      </c>
      <c r="I66" s="3">
        <f>'10_Clean_Meta'!I66</f>
        <v>70</v>
      </c>
      <c r="J66" s="3">
        <f>'10_Clean_Meta'!J66</f>
        <v>18</v>
      </c>
      <c r="K66" s="3">
        <f>'10_Clean_Meta'!K66</f>
        <v>1011.21</v>
      </c>
      <c r="L66">
        <f t="shared" si="0"/>
        <v>5.3786617027530126E-2</v>
      </c>
      <c r="M66" s="3">
        <f t="shared" si="1"/>
        <v>3.2786885245901641E-2</v>
      </c>
      <c r="N66" s="3">
        <f t="shared" si="2"/>
        <v>0.51387978142076507</v>
      </c>
      <c r="O66" s="3">
        <f t="shared" si="3"/>
        <v>15.673333333333334</v>
      </c>
      <c r="P66">
        <f t="shared" si="4"/>
        <v>3.5843258188005107</v>
      </c>
    </row>
    <row r="67" spans="1:16">
      <c r="A67" s="1">
        <f>'10_Clean_Meta'!A67</f>
        <v>46028</v>
      </c>
      <c r="B67" s="3" t="str">
        <f>'10_Clean_Meta'!B67</f>
        <v>Meta</v>
      </c>
      <c r="C67" s="3" t="str">
        <f>'10_Clean_Meta'!C67</f>
        <v>Campaign_B</v>
      </c>
      <c r="D67" s="3" t="str">
        <f>'10_Clean_Meta'!D67</f>
        <v>Retargeting</v>
      </c>
      <c r="E67" s="3" t="str">
        <f>'10_Clean_Meta'!E67</f>
        <v>Creative_1</v>
      </c>
      <c r="F67" s="3">
        <f>'10_Clean_Meta'!F67</f>
        <v>214.89</v>
      </c>
      <c r="G67" s="3">
        <f>'10_Clean_Meta'!G67</f>
        <v>10540</v>
      </c>
      <c r="H67" s="3">
        <f>'10_Clean_Meta'!H67</f>
        <v>560</v>
      </c>
      <c r="I67" s="3">
        <f>'10_Clean_Meta'!I67</f>
        <v>14</v>
      </c>
      <c r="J67" s="3">
        <f>'10_Clean_Meta'!J67</f>
        <v>30</v>
      </c>
      <c r="K67" s="3">
        <f>'10_Clean_Meta'!K67</f>
        <v>1209.98</v>
      </c>
      <c r="L67">
        <f t="shared" ref="L67:L130" si="5">H67/G67</f>
        <v>5.3130929791271347E-2</v>
      </c>
      <c r="M67" s="3">
        <f t="shared" ref="M67:M130" si="6">J67/H67</f>
        <v>5.3571428571428568E-2</v>
      </c>
      <c r="N67" s="3">
        <f t="shared" ref="N67:N130" si="7">F67/H67</f>
        <v>0.38373214285714285</v>
      </c>
      <c r="O67" s="3">
        <f t="shared" ref="O67:O130" si="8">F67/J67</f>
        <v>7.1629999999999994</v>
      </c>
      <c r="P67">
        <f t="shared" ref="P67:P130" si="9">K67/F67</f>
        <v>5.6306947740704549</v>
      </c>
    </row>
    <row r="68" spans="1:16">
      <c r="A68" s="1">
        <f>'10_Clean_Meta'!A68</f>
        <v>46029</v>
      </c>
      <c r="B68" s="3" t="str">
        <f>'10_Clean_Meta'!B68</f>
        <v>Meta</v>
      </c>
      <c r="C68" s="3" t="str">
        <f>'10_Clean_Meta'!C68</f>
        <v>Campaign_B</v>
      </c>
      <c r="D68" s="3" t="str">
        <f>'10_Clean_Meta'!D68</f>
        <v>Retargeting</v>
      </c>
      <c r="E68" s="3" t="str">
        <f>'10_Clean_Meta'!E68</f>
        <v>Creative_1</v>
      </c>
      <c r="F68" s="3">
        <f>'10_Clean_Meta'!F68</f>
        <v>179.62</v>
      </c>
      <c r="G68" s="3">
        <f>'10_Clean_Meta'!G68</f>
        <v>17364</v>
      </c>
      <c r="H68" s="3">
        <f>'10_Clean_Meta'!H68</f>
        <v>266</v>
      </c>
      <c r="I68" s="3">
        <f>'10_Clean_Meta'!I68</f>
        <v>60</v>
      </c>
      <c r="J68" s="3">
        <f>'10_Clean_Meta'!J68</f>
        <v>15</v>
      </c>
      <c r="K68" s="3">
        <f>'10_Clean_Meta'!K68</f>
        <v>1499.96</v>
      </c>
      <c r="L68">
        <f t="shared" si="5"/>
        <v>1.5319050909928588E-2</v>
      </c>
      <c r="M68" s="3">
        <f t="shared" si="6"/>
        <v>5.6390977443609019E-2</v>
      </c>
      <c r="N68" s="3">
        <f t="shared" si="7"/>
        <v>0.6752631578947369</v>
      </c>
      <c r="O68" s="3">
        <f t="shared" si="8"/>
        <v>11.974666666666668</v>
      </c>
      <c r="P68">
        <f t="shared" si="9"/>
        <v>8.3507404520654713</v>
      </c>
    </row>
    <row r="69" spans="1:16">
      <c r="A69" s="1">
        <f>'10_Clean_Meta'!A69</f>
        <v>46030</v>
      </c>
      <c r="B69" s="3" t="str">
        <f>'10_Clean_Meta'!B69</f>
        <v>Meta</v>
      </c>
      <c r="C69" s="3" t="str">
        <f>'10_Clean_Meta'!C69</f>
        <v>Campaign_B</v>
      </c>
      <c r="D69" s="3" t="str">
        <f>'10_Clean_Meta'!D69</f>
        <v>Prospecting</v>
      </c>
      <c r="E69" s="3" t="str">
        <f>'10_Clean_Meta'!E69</f>
        <v>Creative_3</v>
      </c>
      <c r="F69" s="3">
        <f>'10_Clean_Meta'!F69</f>
        <v>47.21</v>
      </c>
      <c r="G69" s="3">
        <f>'10_Clean_Meta'!G69</f>
        <v>5611</v>
      </c>
      <c r="H69" s="3">
        <f>'10_Clean_Meta'!H69</f>
        <v>1143</v>
      </c>
      <c r="I69" s="3">
        <f>'10_Clean_Meta'!I69</f>
        <v>34</v>
      </c>
      <c r="J69" s="3">
        <f>'10_Clean_Meta'!J69</f>
        <v>27</v>
      </c>
      <c r="K69" s="3">
        <f>'10_Clean_Meta'!K69</f>
        <v>1159.71</v>
      </c>
      <c r="L69">
        <f t="shared" si="5"/>
        <v>0.20370700409909107</v>
      </c>
      <c r="M69" s="3">
        <f t="shared" si="6"/>
        <v>2.3622047244094488E-2</v>
      </c>
      <c r="N69" s="3">
        <f t="shared" si="7"/>
        <v>4.1303587051618545E-2</v>
      </c>
      <c r="O69" s="3">
        <f t="shared" si="8"/>
        <v>1.7485185185185186</v>
      </c>
      <c r="P69">
        <f t="shared" si="9"/>
        <v>24.564922685871636</v>
      </c>
    </row>
    <row r="70" spans="1:16">
      <c r="A70" s="1">
        <f>'10_Clean_Meta'!A70</f>
        <v>46031</v>
      </c>
      <c r="B70" s="3" t="str">
        <f>'10_Clean_Meta'!B70</f>
        <v>Meta</v>
      </c>
      <c r="C70" s="3" t="str">
        <f>'10_Clean_Meta'!C70</f>
        <v>Campaign_B</v>
      </c>
      <c r="D70" s="3" t="str">
        <f>'10_Clean_Meta'!D70</f>
        <v>Prospecting</v>
      </c>
      <c r="E70" s="3" t="str">
        <f>'10_Clean_Meta'!E70</f>
        <v>Creative_2</v>
      </c>
      <c r="F70" s="3">
        <f>'10_Clean_Meta'!F70</f>
        <v>192.2</v>
      </c>
      <c r="G70" s="3">
        <f>'10_Clean_Meta'!G70</f>
        <v>6878</v>
      </c>
      <c r="H70" s="3">
        <f>'10_Clean_Meta'!H70</f>
        <v>494</v>
      </c>
      <c r="I70" s="3">
        <f>'10_Clean_Meta'!I70</f>
        <v>118</v>
      </c>
      <c r="J70" s="3">
        <f>'10_Clean_Meta'!J70</f>
        <v>51</v>
      </c>
      <c r="K70" s="3">
        <f>'10_Clean_Meta'!K70</f>
        <v>1214.42</v>
      </c>
      <c r="L70">
        <f t="shared" si="5"/>
        <v>7.18232044198895E-2</v>
      </c>
      <c r="M70" s="3">
        <f t="shared" si="6"/>
        <v>0.10323886639676114</v>
      </c>
      <c r="N70" s="3">
        <f t="shared" si="7"/>
        <v>0.38906882591093117</v>
      </c>
      <c r="O70" s="3">
        <f t="shared" si="8"/>
        <v>3.7686274509803921</v>
      </c>
      <c r="P70">
        <f t="shared" si="9"/>
        <v>6.3185223725286166</v>
      </c>
    </row>
    <row r="71" spans="1:16">
      <c r="A71" s="1">
        <f>'10_Clean_Meta'!A71</f>
        <v>46032</v>
      </c>
      <c r="B71" s="3" t="str">
        <f>'10_Clean_Meta'!B71</f>
        <v>Meta</v>
      </c>
      <c r="C71" s="3" t="str">
        <f>'10_Clean_Meta'!C71</f>
        <v>Campaign_A</v>
      </c>
      <c r="D71" s="3" t="str">
        <f>'10_Clean_Meta'!D71</f>
        <v>Prospecting</v>
      </c>
      <c r="E71" s="3" t="str">
        <f>'10_Clean_Meta'!E71</f>
        <v>Creative_1</v>
      </c>
      <c r="F71" s="3">
        <f>'10_Clean_Meta'!F71</f>
        <v>297.22000000000003</v>
      </c>
      <c r="G71" s="3">
        <f>'10_Clean_Meta'!G71</f>
        <v>17347</v>
      </c>
      <c r="H71" s="3">
        <f>'10_Clean_Meta'!H71</f>
        <v>925</v>
      </c>
      <c r="I71" s="3">
        <f>'10_Clean_Meta'!I71</f>
        <v>113</v>
      </c>
      <c r="J71" s="3">
        <f>'10_Clean_Meta'!J71</f>
        <v>34</v>
      </c>
      <c r="K71" s="3">
        <f>'10_Clean_Meta'!K71</f>
        <v>1172.47</v>
      </c>
      <c r="L71">
        <f t="shared" si="5"/>
        <v>5.3323341211736902E-2</v>
      </c>
      <c r="M71" s="3">
        <f t="shared" si="6"/>
        <v>3.6756756756756756E-2</v>
      </c>
      <c r="N71" s="3">
        <f t="shared" si="7"/>
        <v>0.32131891891891895</v>
      </c>
      <c r="O71" s="3">
        <f t="shared" si="8"/>
        <v>8.7417647058823533</v>
      </c>
      <c r="P71">
        <f t="shared" si="9"/>
        <v>3.9447883722495121</v>
      </c>
    </row>
    <row r="72" spans="1:16">
      <c r="A72" s="1">
        <f>'10_Clean_Meta'!A72</f>
        <v>46033</v>
      </c>
      <c r="B72" s="3" t="str">
        <f>'10_Clean_Meta'!B72</f>
        <v>Meta</v>
      </c>
      <c r="C72" s="3" t="str">
        <f>'10_Clean_Meta'!C72</f>
        <v>Campaign_C</v>
      </c>
      <c r="D72" s="3" t="str">
        <f>'10_Clean_Meta'!D72</f>
        <v>Prospecting</v>
      </c>
      <c r="E72" s="3" t="str">
        <f>'10_Clean_Meta'!E72</f>
        <v>Creative_3</v>
      </c>
      <c r="F72" s="3">
        <f>'10_Clean_Meta'!F72</f>
        <v>59.22</v>
      </c>
      <c r="G72" s="3">
        <f>'10_Clean_Meta'!G72</f>
        <v>1851</v>
      </c>
      <c r="H72" s="3">
        <f>'10_Clean_Meta'!H72</f>
        <v>216</v>
      </c>
      <c r="I72" s="3">
        <f>'10_Clean_Meta'!I72</f>
        <v>9</v>
      </c>
      <c r="J72" s="3">
        <f>'10_Clean_Meta'!J72</f>
        <v>52</v>
      </c>
      <c r="K72" s="3">
        <f>'10_Clean_Meta'!K72</f>
        <v>819.67</v>
      </c>
      <c r="L72">
        <f t="shared" si="5"/>
        <v>0.1166936790923825</v>
      </c>
      <c r="M72" s="3">
        <f t="shared" si="6"/>
        <v>0.24074074074074073</v>
      </c>
      <c r="N72" s="3">
        <f t="shared" si="7"/>
        <v>0.27416666666666667</v>
      </c>
      <c r="O72" s="3">
        <f t="shared" si="8"/>
        <v>1.1388461538461538</v>
      </c>
      <c r="P72">
        <f t="shared" si="9"/>
        <v>13.841100979398851</v>
      </c>
    </row>
    <row r="73" spans="1:16">
      <c r="A73" s="1">
        <f>'10_Clean_Meta'!A73</f>
        <v>46034</v>
      </c>
      <c r="B73" s="3" t="str">
        <f>'10_Clean_Meta'!B73</f>
        <v>Meta</v>
      </c>
      <c r="C73" s="3" t="str">
        <f>'10_Clean_Meta'!C73</f>
        <v>Campaign_B</v>
      </c>
      <c r="D73" s="3" t="str">
        <f>'10_Clean_Meta'!D73</f>
        <v>Prospecting</v>
      </c>
      <c r="E73" s="3" t="str">
        <f>'10_Clean_Meta'!E73</f>
        <v>Creative_3</v>
      </c>
      <c r="F73" s="3">
        <f>'10_Clean_Meta'!F73</f>
        <v>165.13</v>
      </c>
      <c r="G73" s="3">
        <f>'10_Clean_Meta'!G73</f>
        <v>19071</v>
      </c>
      <c r="H73" s="3">
        <f>'10_Clean_Meta'!H73</f>
        <v>140</v>
      </c>
      <c r="I73" s="3">
        <f>'10_Clean_Meta'!I73</f>
        <v>37</v>
      </c>
      <c r="J73" s="3">
        <f>'10_Clean_Meta'!J73</f>
        <v>57</v>
      </c>
      <c r="K73" s="3">
        <f>'10_Clean_Meta'!K73</f>
        <v>741.15</v>
      </c>
      <c r="L73">
        <f t="shared" si="5"/>
        <v>7.3409889360809607E-3</v>
      </c>
      <c r="M73" s="3">
        <f t="shared" si="6"/>
        <v>0.40714285714285714</v>
      </c>
      <c r="N73" s="3">
        <f t="shared" si="7"/>
        <v>1.1795</v>
      </c>
      <c r="O73" s="3">
        <f t="shared" si="8"/>
        <v>2.8970175438596488</v>
      </c>
      <c r="P73">
        <f t="shared" si="9"/>
        <v>4.4882819596681403</v>
      </c>
    </row>
    <row r="74" spans="1:16">
      <c r="A74" s="1">
        <f>'10_Clean_Meta'!A74</f>
        <v>46035</v>
      </c>
      <c r="B74" s="3" t="str">
        <f>'10_Clean_Meta'!B74</f>
        <v>Meta</v>
      </c>
      <c r="C74" s="3" t="str">
        <f>'10_Clean_Meta'!C74</f>
        <v>Campaign_B</v>
      </c>
      <c r="D74" s="3" t="str">
        <f>'10_Clean_Meta'!D74</f>
        <v>Prospecting</v>
      </c>
      <c r="E74" s="3" t="str">
        <f>'10_Clean_Meta'!E74</f>
        <v>Creative_3</v>
      </c>
      <c r="F74" s="3">
        <f>'10_Clean_Meta'!F74</f>
        <v>265.66000000000003</v>
      </c>
      <c r="G74" s="3">
        <f>'10_Clean_Meta'!G74</f>
        <v>7833</v>
      </c>
      <c r="H74" s="3">
        <f>'10_Clean_Meta'!H74</f>
        <v>763</v>
      </c>
      <c r="I74" s="3">
        <f>'10_Clean_Meta'!I74</f>
        <v>69</v>
      </c>
      <c r="J74" s="3">
        <f>'10_Clean_Meta'!J74</f>
        <v>38</v>
      </c>
      <c r="K74" s="3">
        <f>'10_Clean_Meta'!K74</f>
        <v>1809.33</v>
      </c>
      <c r="L74">
        <f t="shared" si="5"/>
        <v>9.7408400357462024E-2</v>
      </c>
      <c r="M74" s="3">
        <f t="shared" si="6"/>
        <v>4.9803407601572737E-2</v>
      </c>
      <c r="N74" s="3">
        <f t="shared" si="7"/>
        <v>0.34817824377457407</v>
      </c>
      <c r="O74" s="3">
        <f t="shared" si="8"/>
        <v>6.9910526315789481</v>
      </c>
      <c r="P74">
        <f t="shared" si="9"/>
        <v>6.81069788451404</v>
      </c>
    </row>
    <row r="75" spans="1:16">
      <c r="A75" s="1">
        <f>'10_Clean_Meta'!A75</f>
        <v>46036</v>
      </c>
      <c r="B75" s="3" t="str">
        <f>'10_Clean_Meta'!B75</f>
        <v>Meta</v>
      </c>
      <c r="C75" s="3" t="str">
        <f>'10_Clean_Meta'!C75</f>
        <v>Campaign_B</v>
      </c>
      <c r="D75" s="3" t="str">
        <f>'10_Clean_Meta'!D75</f>
        <v>Prospecting</v>
      </c>
      <c r="E75" s="3" t="str">
        <f>'10_Clean_Meta'!E75</f>
        <v>Creative_2</v>
      </c>
      <c r="F75" s="3">
        <f>'10_Clean_Meta'!F75</f>
        <v>227.42</v>
      </c>
      <c r="G75" s="3">
        <f>'10_Clean_Meta'!G75</f>
        <v>12938</v>
      </c>
      <c r="H75" s="3">
        <f>'10_Clean_Meta'!H75</f>
        <v>88</v>
      </c>
      <c r="I75" s="3">
        <f>'10_Clean_Meta'!I75</f>
        <v>22</v>
      </c>
      <c r="J75" s="3">
        <f>'10_Clean_Meta'!J75</f>
        <v>33</v>
      </c>
      <c r="K75" s="3">
        <f>'10_Clean_Meta'!K75</f>
        <v>1254.3499999999999</v>
      </c>
      <c r="L75">
        <f t="shared" si="5"/>
        <v>6.8016695006956254E-3</v>
      </c>
      <c r="M75" s="3">
        <f t="shared" si="6"/>
        <v>0.375</v>
      </c>
      <c r="N75" s="3">
        <f t="shared" si="7"/>
        <v>2.5843181818181815</v>
      </c>
      <c r="O75" s="3">
        <f t="shared" si="8"/>
        <v>6.8915151515151507</v>
      </c>
      <c r="P75">
        <f t="shared" si="9"/>
        <v>5.5155659132881896</v>
      </c>
    </row>
    <row r="76" spans="1:16">
      <c r="A76" s="1">
        <f>'10_Clean_Meta'!A76</f>
        <v>46037</v>
      </c>
      <c r="B76" s="3" t="str">
        <f>'10_Clean_Meta'!B76</f>
        <v>Meta</v>
      </c>
      <c r="C76" s="3" t="str">
        <f>'10_Clean_Meta'!C76</f>
        <v>Campaign_B</v>
      </c>
      <c r="D76" s="3" t="str">
        <f>'10_Clean_Meta'!D76</f>
        <v>Retargeting</v>
      </c>
      <c r="E76" s="3" t="str">
        <f>'10_Clean_Meta'!E76</f>
        <v>Creative_3</v>
      </c>
      <c r="F76" s="3">
        <f>'10_Clean_Meta'!F76</f>
        <v>215.16</v>
      </c>
      <c r="G76" s="3">
        <f>'10_Clean_Meta'!G76</f>
        <v>3427</v>
      </c>
      <c r="H76" s="3">
        <f>'10_Clean_Meta'!H76</f>
        <v>1199</v>
      </c>
      <c r="I76" s="3">
        <f>'10_Clean_Meta'!I76</f>
        <v>100</v>
      </c>
      <c r="J76" s="3">
        <f>'10_Clean_Meta'!J76</f>
        <v>24</v>
      </c>
      <c r="K76" s="3">
        <f>'10_Clean_Meta'!K76</f>
        <v>564.27</v>
      </c>
      <c r="L76">
        <f t="shared" si="5"/>
        <v>0.34986868981616576</v>
      </c>
      <c r="M76" s="3">
        <f t="shared" si="6"/>
        <v>2.0016680567139282E-2</v>
      </c>
      <c r="N76" s="3">
        <f t="shared" si="7"/>
        <v>0.17944954128440366</v>
      </c>
      <c r="O76" s="3">
        <f t="shared" si="8"/>
        <v>8.9649999999999999</v>
      </c>
      <c r="P76">
        <f t="shared" si="9"/>
        <v>2.6225599553820413</v>
      </c>
    </row>
    <row r="77" spans="1:16">
      <c r="A77" s="1">
        <f>'10_Clean_Meta'!A77</f>
        <v>46038</v>
      </c>
      <c r="B77" s="3" t="str">
        <f>'10_Clean_Meta'!B77</f>
        <v>Meta</v>
      </c>
      <c r="C77" s="3" t="str">
        <f>'10_Clean_Meta'!C77</f>
        <v>Campaign_B</v>
      </c>
      <c r="D77" s="3" t="str">
        <f>'10_Clean_Meta'!D77</f>
        <v>Prospecting</v>
      </c>
      <c r="E77" s="3" t="str">
        <f>'10_Clean_Meta'!E77</f>
        <v>Creative_3</v>
      </c>
      <c r="F77" s="3">
        <f>'10_Clean_Meta'!F77</f>
        <v>216.7</v>
      </c>
      <c r="G77" s="3">
        <f>'10_Clean_Meta'!G77</f>
        <v>5000</v>
      </c>
      <c r="H77" s="3">
        <f>'10_Clean_Meta'!H77</f>
        <v>222</v>
      </c>
      <c r="I77" s="3">
        <f>'10_Clean_Meta'!I77</f>
        <v>115</v>
      </c>
      <c r="J77" s="3">
        <f>'10_Clean_Meta'!J77</f>
        <v>15</v>
      </c>
      <c r="K77" s="3">
        <f>'10_Clean_Meta'!K77</f>
        <v>1046.67</v>
      </c>
      <c r="L77">
        <f t="shared" si="5"/>
        <v>4.4400000000000002E-2</v>
      </c>
      <c r="M77" s="3">
        <f t="shared" si="6"/>
        <v>6.7567567567567571E-2</v>
      </c>
      <c r="N77" s="3">
        <f t="shared" si="7"/>
        <v>0.97612612612612604</v>
      </c>
      <c r="O77" s="3">
        <f t="shared" si="8"/>
        <v>14.446666666666665</v>
      </c>
      <c r="P77">
        <f t="shared" si="9"/>
        <v>4.8300415320719896</v>
      </c>
    </row>
    <row r="78" spans="1:16">
      <c r="A78" s="1">
        <f>'10_Clean_Meta'!A78</f>
        <v>46039</v>
      </c>
      <c r="B78" s="3" t="str">
        <f>'10_Clean_Meta'!B78</f>
        <v>Meta</v>
      </c>
      <c r="C78" s="3" t="str">
        <f>'10_Clean_Meta'!C78</f>
        <v>Campaign_B</v>
      </c>
      <c r="D78" s="3" t="str">
        <f>'10_Clean_Meta'!D78</f>
        <v>Retargeting</v>
      </c>
      <c r="E78" s="3" t="str">
        <f>'10_Clean_Meta'!E78</f>
        <v>Creative_3</v>
      </c>
      <c r="F78" s="3">
        <f>'10_Clean_Meta'!F78</f>
        <v>120.66</v>
      </c>
      <c r="G78" s="3">
        <f>'10_Clean_Meta'!G78</f>
        <v>6052</v>
      </c>
      <c r="H78" s="3">
        <f>'10_Clean_Meta'!H78</f>
        <v>702</v>
      </c>
      <c r="I78" s="3">
        <f>'10_Clean_Meta'!I78</f>
        <v>53</v>
      </c>
      <c r="J78" s="3">
        <f>'10_Clean_Meta'!J78</f>
        <v>30</v>
      </c>
      <c r="K78" s="3">
        <f>'10_Clean_Meta'!K78</f>
        <v>727.66</v>
      </c>
      <c r="L78">
        <f t="shared" si="5"/>
        <v>0.11599471249173827</v>
      </c>
      <c r="M78" s="3">
        <f t="shared" si="6"/>
        <v>4.2735042735042736E-2</v>
      </c>
      <c r="N78" s="3">
        <f t="shared" si="7"/>
        <v>0.17188034188034187</v>
      </c>
      <c r="O78" s="3">
        <f t="shared" si="8"/>
        <v>4.0220000000000002</v>
      </c>
      <c r="P78">
        <f t="shared" si="9"/>
        <v>6.0306646776064978</v>
      </c>
    </row>
    <row r="79" spans="1:16">
      <c r="A79" s="1">
        <f>'10_Clean_Meta'!A79</f>
        <v>46040</v>
      </c>
      <c r="B79" s="3" t="str">
        <f>'10_Clean_Meta'!B79</f>
        <v>Meta</v>
      </c>
      <c r="C79" s="3" t="str">
        <f>'10_Clean_Meta'!C79</f>
        <v>Campaign_C</v>
      </c>
      <c r="D79" s="3" t="str">
        <f>'10_Clean_Meta'!D79</f>
        <v>Prospecting</v>
      </c>
      <c r="E79" s="3" t="str">
        <f>'10_Clean_Meta'!E79</f>
        <v>Creative_3</v>
      </c>
      <c r="F79" s="3">
        <f>'10_Clean_Meta'!F79</f>
        <v>102.21</v>
      </c>
      <c r="G79" s="3">
        <f>'10_Clean_Meta'!G79</f>
        <v>3738</v>
      </c>
      <c r="H79" s="3">
        <f>'10_Clean_Meta'!H79</f>
        <v>803</v>
      </c>
      <c r="I79" s="3">
        <f>'10_Clean_Meta'!I79</f>
        <v>15</v>
      </c>
      <c r="J79" s="3">
        <f>'10_Clean_Meta'!J79</f>
        <v>55</v>
      </c>
      <c r="K79" s="3">
        <f>'10_Clean_Meta'!K79</f>
        <v>1874.01</v>
      </c>
      <c r="L79">
        <f t="shared" si="5"/>
        <v>0.21482075976457998</v>
      </c>
      <c r="M79" s="3">
        <f t="shared" si="6"/>
        <v>6.8493150684931503E-2</v>
      </c>
      <c r="N79" s="3">
        <f t="shared" si="7"/>
        <v>0.12728518057285179</v>
      </c>
      <c r="O79" s="3">
        <f t="shared" si="8"/>
        <v>1.8583636363636362</v>
      </c>
      <c r="P79">
        <f t="shared" si="9"/>
        <v>18.334898737892576</v>
      </c>
    </row>
    <row r="80" spans="1:16">
      <c r="A80" s="1">
        <f>'10_Clean_Meta'!A80</f>
        <v>46041</v>
      </c>
      <c r="B80" s="3" t="str">
        <f>'10_Clean_Meta'!B80</f>
        <v>Meta</v>
      </c>
      <c r="C80" s="3" t="str">
        <f>'10_Clean_Meta'!C80</f>
        <v>Campaign_C</v>
      </c>
      <c r="D80" s="3" t="str">
        <f>'10_Clean_Meta'!D80</f>
        <v>Prospecting</v>
      </c>
      <c r="E80" s="3" t="str">
        <f>'10_Clean_Meta'!E80</f>
        <v>Creative_1</v>
      </c>
      <c r="F80" s="3">
        <f>'10_Clean_Meta'!F80</f>
        <v>246.62</v>
      </c>
      <c r="G80" s="3">
        <f>'10_Clean_Meta'!G80</f>
        <v>6387</v>
      </c>
      <c r="H80" s="3">
        <f>'10_Clean_Meta'!H80</f>
        <v>1131</v>
      </c>
      <c r="I80" s="3">
        <f>'10_Clean_Meta'!I80</f>
        <v>89</v>
      </c>
      <c r="J80" s="3">
        <f>'10_Clean_Meta'!J80</f>
        <v>42</v>
      </c>
      <c r="K80" s="3">
        <f>'10_Clean_Meta'!K80</f>
        <v>114.32</v>
      </c>
      <c r="L80">
        <f t="shared" si="5"/>
        <v>0.17707844058243308</v>
      </c>
      <c r="M80" s="3">
        <f t="shared" si="6"/>
        <v>3.7135278514588858E-2</v>
      </c>
      <c r="N80" s="3">
        <f t="shared" si="7"/>
        <v>0.21805481874447391</v>
      </c>
      <c r="O80" s="3">
        <f t="shared" si="8"/>
        <v>5.8719047619047622</v>
      </c>
      <c r="P80">
        <f t="shared" si="9"/>
        <v>0.46354715757035109</v>
      </c>
    </row>
    <row r="81" spans="1:16">
      <c r="A81" s="1">
        <f>'10_Clean_Meta'!A81</f>
        <v>46042</v>
      </c>
      <c r="B81" s="3" t="str">
        <f>'10_Clean_Meta'!B81</f>
        <v>Meta</v>
      </c>
      <c r="C81" s="3" t="str">
        <f>'10_Clean_Meta'!C81</f>
        <v>Campaign_B</v>
      </c>
      <c r="D81" s="3" t="str">
        <f>'10_Clean_Meta'!D81</f>
        <v>Prospecting</v>
      </c>
      <c r="E81" s="3" t="str">
        <f>'10_Clean_Meta'!E81</f>
        <v>Creative_1</v>
      </c>
      <c r="F81" s="3">
        <f>'10_Clean_Meta'!F81</f>
        <v>246.83</v>
      </c>
      <c r="G81" s="3">
        <f>'10_Clean_Meta'!G81</f>
        <v>9002</v>
      </c>
      <c r="H81" s="3">
        <f>'10_Clean_Meta'!H81</f>
        <v>525</v>
      </c>
      <c r="I81" s="3">
        <f>'10_Clean_Meta'!I81</f>
        <v>30</v>
      </c>
      <c r="J81" s="3">
        <f>'10_Clean_Meta'!J81</f>
        <v>51</v>
      </c>
      <c r="K81" s="3">
        <f>'10_Clean_Meta'!K81</f>
        <v>528.13</v>
      </c>
      <c r="L81">
        <f t="shared" si="5"/>
        <v>5.8320373250388802E-2</v>
      </c>
      <c r="M81" s="3">
        <f t="shared" si="6"/>
        <v>9.7142857142857142E-2</v>
      </c>
      <c r="N81" s="3">
        <f t="shared" si="7"/>
        <v>0.47015238095238099</v>
      </c>
      <c r="O81" s="3">
        <f t="shared" si="8"/>
        <v>4.8398039215686275</v>
      </c>
      <c r="P81">
        <f t="shared" si="9"/>
        <v>2.1396507717862496</v>
      </c>
    </row>
    <row r="82" spans="1:16">
      <c r="A82" s="1">
        <f>'10_Clean_Meta'!A82</f>
        <v>46043</v>
      </c>
      <c r="B82" s="3" t="str">
        <f>'10_Clean_Meta'!B82</f>
        <v>Meta</v>
      </c>
      <c r="C82" s="3" t="str">
        <f>'10_Clean_Meta'!C82</f>
        <v>Campaign_C</v>
      </c>
      <c r="D82" s="3" t="str">
        <f>'10_Clean_Meta'!D82</f>
        <v>Retargeting</v>
      </c>
      <c r="E82" s="3" t="str">
        <f>'10_Clean_Meta'!E82</f>
        <v>Creative_3</v>
      </c>
      <c r="F82" s="3">
        <f>'10_Clean_Meta'!F82</f>
        <v>262.77999999999997</v>
      </c>
      <c r="G82" s="3">
        <f>'10_Clean_Meta'!G82</f>
        <v>6536</v>
      </c>
      <c r="H82" s="3">
        <f>'10_Clean_Meta'!H82</f>
        <v>505</v>
      </c>
      <c r="I82" s="3">
        <f>'10_Clean_Meta'!I82</f>
        <v>67</v>
      </c>
      <c r="J82" s="3">
        <f>'10_Clean_Meta'!J82</f>
        <v>17</v>
      </c>
      <c r="K82" s="3">
        <f>'10_Clean_Meta'!K82</f>
        <v>794.18</v>
      </c>
      <c r="L82">
        <f t="shared" si="5"/>
        <v>7.7264381884944916E-2</v>
      </c>
      <c r="M82" s="3">
        <f t="shared" si="6"/>
        <v>3.3663366336633666E-2</v>
      </c>
      <c r="N82" s="3">
        <f t="shared" si="7"/>
        <v>0.52035643564356426</v>
      </c>
      <c r="O82" s="3">
        <f t="shared" si="8"/>
        <v>15.457647058823527</v>
      </c>
      <c r="P82">
        <f t="shared" si="9"/>
        <v>3.0222239135398432</v>
      </c>
    </row>
    <row r="83" spans="1:16">
      <c r="A83" s="1">
        <f>'10_Clean_Meta'!A83</f>
        <v>46044</v>
      </c>
      <c r="B83" s="3" t="str">
        <f>'10_Clean_Meta'!B83</f>
        <v>Meta</v>
      </c>
      <c r="C83" s="3" t="str">
        <f>'10_Clean_Meta'!C83</f>
        <v>Campaign_A</v>
      </c>
      <c r="D83" s="3" t="str">
        <f>'10_Clean_Meta'!D83</f>
        <v>Retargeting</v>
      </c>
      <c r="E83" s="3" t="str">
        <f>'10_Clean_Meta'!E83</f>
        <v>Creative_2</v>
      </c>
      <c r="F83" s="3">
        <f>'10_Clean_Meta'!F83</f>
        <v>275.70999999999998</v>
      </c>
      <c r="G83" s="3">
        <f>'10_Clean_Meta'!G83</f>
        <v>14479</v>
      </c>
      <c r="H83" s="3">
        <f>'10_Clean_Meta'!H83</f>
        <v>878</v>
      </c>
      <c r="I83" s="3">
        <f>'10_Clean_Meta'!I83</f>
        <v>93</v>
      </c>
      <c r="J83" s="3">
        <f>'10_Clean_Meta'!J83</f>
        <v>5</v>
      </c>
      <c r="K83" s="3">
        <f>'10_Clean_Meta'!K83</f>
        <v>1026.8399999999999</v>
      </c>
      <c r="L83">
        <f t="shared" si="5"/>
        <v>6.0639546930036606E-2</v>
      </c>
      <c r="M83" s="3">
        <f t="shared" si="6"/>
        <v>5.6947608200455585E-3</v>
      </c>
      <c r="N83" s="3">
        <f t="shared" si="7"/>
        <v>0.31402050113895214</v>
      </c>
      <c r="O83" s="3">
        <f t="shared" si="8"/>
        <v>55.141999999999996</v>
      </c>
      <c r="P83">
        <f t="shared" si="9"/>
        <v>3.7243480468608321</v>
      </c>
    </row>
    <row r="84" spans="1:16">
      <c r="A84" s="1">
        <f>'10_Clean_Meta'!A84</f>
        <v>46045</v>
      </c>
      <c r="B84" s="3" t="str">
        <f>'10_Clean_Meta'!B84</f>
        <v>Meta</v>
      </c>
      <c r="C84" s="3" t="str">
        <f>'10_Clean_Meta'!C84</f>
        <v>Campaign_B</v>
      </c>
      <c r="D84" s="3" t="str">
        <f>'10_Clean_Meta'!D84</f>
        <v>Retargeting</v>
      </c>
      <c r="E84" s="3" t="str">
        <f>'10_Clean_Meta'!E84</f>
        <v>Creative_1</v>
      </c>
      <c r="F84" s="3">
        <f>'10_Clean_Meta'!F84</f>
        <v>163.18</v>
      </c>
      <c r="G84" s="3">
        <f>'10_Clean_Meta'!G84</f>
        <v>4913</v>
      </c>
      <c r="H84" s="3">
        <f>'10_Clean_Meta'!H84</f>
        <v>944</v>
      </c>
      <c r="I84" s="3">
        <f>'10_Clean_Meta'!I84</f>
        <v>90</v>
      </c>
      <c r="J84" s="3">
        <f>'10_Clean_Meta'!J84</f>
        <v>29</v>
      </c>
      <c r="K84" s="3">
        <f>'10_Clean_Meta'!K84</f>
        <v>1716.55</v>
      </c>
      <c r="L84">
        <f t="shared" si="5"/>
        <v>0.19214329330348057</v>
      </c>
      <c r="M84" s="3">
        <f t="shared" si="6"/>
        <v>3.0720338983050849E-2</v>
      </c>
      <c r="N84" s="3">
        <f t="shared" si="7"/>
        <v>0.17286016949152544</v>
      </c>
      <c r="O84" s="3">
        <f t="shared" si="8"/>
        <v>5.6268965517241378</v>
      </c>
      <c r="P84">
        <f t="shared" si="9"/>
        <v>10.519365118274298</v>
      </c>
    </row>
    <row r="85" spans="1:16">
      <c r="A85" s="1">
        <f>'10_Clean_Meta'!A85</f>
        <v>46046</v>
      </c>
      <c r="B85" s="3" t="str">
        <f>'10_Clean_Meta'!B85</f>
        <v>Meta</v>
      </c>
      <c r="C85" s="3" t="str">
        <f>'10_Clean_Meta'!C85</f>
        <v>Campaign_A</v>
      </c>
      <c r="D85" s="3" t="str">
        <f>'10_Clean_Meta'!D85</f>
        <v>Retargeting</v>
      </c>
      <c r="E85" s="3" t="str">
        <f>'10_Clean_Meta'!E85</f>
        <v>Creative_3</v>
      </c>
      <c r="F85" s="3">
        <f>'10_Clean_Meta'!F85</f>
        <v>160.41999999999999</v>
      </c>
      <c r="G85" s="3">
        <f>'10_Clean_Meta'!G85</f>
        <v>18450</v>
      </c>
      <c r="H85" s="3">
        <f>'10_Clean_Meta'!H85</f>
        <v>1074</v>
      </c>
      <c r="I85" s="3">
        <f>'10_Clean_Meta'!I85</f>
        <v>63</v>
      </c>
      <c r="J85" s="3">
        <f>'10_Clean_Meta'!J85</f>
        <v>4</v>
      </c>
      <c r="K85" s="3">
        <f>'10_Clean_Meta'!K85</f>
        <v>266.99</v>
      </c>
      <c r="L85">
        <f t="shared" si="5"/>
        <v>5.8211382113821139E-2</v>
      </c>
      <c r="M85" s="3">
        <f t="shared" si="6"/>
        <v>3.7243947858472998E-3</v>
      </c>
      <c r="N85" s="3">
        <f t="shared" si="7"/>
        <v>0.14936685288640594</v>
      </c>
      <c r="O85" s="3">
        <f t="shared" si="8"/>
        <v>40.104999999999997</v>
      </c>
      <c r="P85">
        <f t="shared" si="9"/>
        <v>1.6643186635082909</v>
      </c>
    </row>
    <row r="86" spans="1:16">
      <c r="A86" s="1">
        <f>'10_Clean_Meta'!A86</f>
        <v>46047</v>
      </c>
      <c r="B86" s="3" t="str">
        <f>'10_Clean_Meta'!B86</f>
        <v>Meta</v>
      </c>
      <c r="C86" s="3" t="str">
        <f>'10_Clean_Meta'!C86</f>
        <v>Campaign_A</v>
      </c>
      <c r="D86" s="3" t="str">
        <f>'10_Clean_Meta'!D86</f>
        <v>Prospecting</v>
      </c>
      <c r="E86" s="3" t="str">
        <f>'10_Clean_Meta'!E86</f>
        <v>Creative_1</v>
      </c>
      <c r="F86" s="3">
        <f>'10_Clean_Meta'!F86</f>
        <v>243.52</v>
      </c>
      <c r="G86" s="3">
        <f>'10_Clean_Meta'!G86</f>
        <v>11636</v>
      </c>
      <c r="H86" s="3">
        <f>'10_Clean_Meta'!H86</f>
        <v>436</v>
      </c>
      <c r="I86" s="3">
        <f>'10_Clean_Meta'!I86</f>
        <v>31</v>
      </c>
      <c r="J86" s="3">
        <f>'10_Clean_Meta'!J86</f>
        <v>10</v>
      </c>
      <c r="K86" s="3">
        <f>'10_Clean_Meta'!K86</f>
        <v>1631.14</v>
      </c>
      <c r="L86">
        <f t="shared" si="5"/>
        <v>3.7469920935029218E-2</v>
      </c>
      <c r="M86" s="3">
        <f t="shared" si="6"/>
        <v>2.2935779816513763E-2</v>
      </c>
      <c r="N86" s="3">
        <f t="shared" si="7"/>
        <v>0.55853211009174319</v>
      </c>
      <c r="O86" s="3">
        <f t="shared" si="8"/>
        <v>24.352</v>
      </c>
      <c r="P86">
        <f t="shared" si="9"/>
        <v>6.6981767411300925</v>
      </c>
    </row>
    <row r="87" spans="1:16">
      <c r="A87" s="1">
        <f>'10_Clean_Meta'!A87</f>
        <v>46048</v>
      </c>
      <c r="B87" s="3" t="str">
        <f>'10_Clean_Meta'!B87</f>
        <v>Meta</v>
      </c>
      <c r="C87" s="3" t="str">
        <f>'10_Clean_Meta'!C87</f>
        <v>Campaign_B</v>
      </c>
      <c r="D87" s="3" t="str">
        <f>'10_Clean_Meta'!D87</f>
        <v>Retargeting</v>
      </c>
      <c r="E87" s="3" t="str">
        <f>'10_Clean_Meta'!E87</f>
        <v>Creative_1</v>
      </c>
      <c r="F87" s="3">
        <f>'10_Clean_Meta'!F87</f>
        <v>201.99</v>
      </c>
      <c r="G87" s="3">
        <f>'10_Clean_Meta'!G87</f>
        <v>6726</v>
      </c>
      <c r="H87" s="3">
        <f>'10_Clean_Meta'!H87</f>
        <v>397</v>
      </c>
      <c r="I87" s="3">
        <f>'10_Clean_Meta'!I87</f>
        <v>53</v>
      </c>
      <c r="J87" s="3">
        <f>'10_Clean_Meta'!J87</f>
        <v>56</v>
      </c>
      <c r="K87" s="3">
        <f>'10_Clean_Meta'!K87</f>
        <v>205.74</v>
      </c>
      <c r="L87">
        <f t="shared" si="5"/>
        <v>5.9024680344930122E-2</v>
      </c>
      <c r="M87" s="3">
        <f t="shared" si="6"/>
        <v>0.14105793450881612</v>
      </c>
      <c r="N87" s="3">
        <f t="shared" si="7"/>
        <v>0.50879093198992442</v>
      </c>
      <c r="O87" s="3">
        <f t="shared" si="8"/>
        <v>3.6069642857142861</v>
      </c>
      <c r="P87">
        <f t="shared" si="9"/>
        <v>1.0185652755086885</v>
      </c>
    </row>
    <row r="88" spans="1:16">
      <c r="A88" s="1">
        <f>'10_Clean_Meta'!A88</f>
        <v>46049</v>
      </c>
      <c r="B88" s="3" t="str">
        <f>'10_Clean_Meta'!B88</f>
        <v>Meta</v>
      </c>
      <c r="C88" s="3" t="str">
        <f>'10_Clean_Meta'!C88</f>
        <v>Campaign_C</v>
      </c>
      <c r="D88" s="3" t="str">
        <f>'10_Clean_Meta'!D88</f>
        <v>Prospecting</v>
      </c>
      <c r="E88" s="3" t="str">
        <f>'10_Clean_Meta'!E88</f>
        <v>Creative_2</v>
      </c>
      <c r="F88" s="3">
        <f>'10_Clean_Meta'!F88</f>
        <v>216.55</v>
      </c>
      <c r="G88" s="3">
        <f>'10_Clean_Meta'!G88</f>
        <v>4373</v>
      </c>
      <c r="H88" s="3">
        <f>'10_Clean_Meta'!H88</f>
        <v>239</v>
      </c>
      <c r="I88" s="3">
        <f>'10_Clean_Meta'!I88</f>
        <v>81</v>
      </c>
      <c r="J88" s="3">
        <f>'10_Clean_Meta'!J88</f>
        <v>17</v>
      </c>
      <c r="K88" s="3">
        <f>'10_Clean_Meta'!K88</f>
        <v>1700.4</v>
      </c>
      <c r="L88">
        <f t="shared" si="5"/>
        <v>5.4653555911273723E-2</v>
      </c>
      <c r="M88" s="3">
        <f t="shared" si="6"/>
        <v>7.1129707112970716E-2</v>
      </c>
      <c r="N88" s="3">
        <f t="shared" si="7"/>
        <v>0.90606694560669465</v>
      </c>
      <c r="O88" s="3">
        <f t="shared" si="8"/>
        <v>12.738235294117647</v>
      </c>
      <c r="P88">
        <f t="shared" si="9"/>
        <v>7.8522281228353732</v>
      </c>
    </row>
    <row r="89" spans="1:16">
      <c r="A89" s="1">
        <f>'10_Clean_Meta'!A89</f>
        <v>46050</v>
      </c>
      <c r="B89" s="3" t="str">
        <f>'10_Clean_Meta'!B89</f>
        <v>Meta</v>
      </c>
      <c r="C89" s="3" t="str">
        <f>'10_Clean_Meta'!C89</f>
        <v>Campaign_A</v>
      </c>
      <c r="D89" s="3" t="str">
        <f>'10_Clean_Meta'!D89</f>
        <v>Prospecting</v>
      </c>
      <c r="E89" s="3" t="str">
        <f>'10_Clean_Meta'!E89</f>
        <v>Creative_3</v>
      </c>
      <c r="F89" s="3">
        <f>'10_Clean_Meta'!F89</f>
        <v>242.82</v>
      </c>
      <c r="G89" s="3">
        <f>'10_Clean_Meta'!G89</f>
        <v>13161</v>
      </c>
      <c r="H89" s="3">
        <f>'10_Clean_Meta'!H89</f>
        <v>554</v>
      </c>
      <c r="I89" s="3">
        <f>'10_Clean_Meta'!I89</f>
        <v>37</v>
      </c>
      <c r="J89" s="3">
        <f>'10_Clean_Meta'!J89</f>
        <v>10</v>
      </c>
      <c r="K89" s="3">
        <f>'10_Clean_Meta'!K89</f>
        <v>198.11</v>
      </c>
      <c r="L89">
        <f t="shared" si="5"/>
        <v>4.2094065800471092E-2</v>
      </c>
      <c r="M89" s="3">
        <f t="shared" si="6"/>
        <v>1.8050541516245487E-2</v>
      </c>
      <c r="N89" s="3">
        <f t="shared" si="7"/>
        <v>0.43830324909747292</v>
      </c>
      <c r="O89" s="3">
        <f t="shared" si="8"/>
        <v>24.282</v>
      </c>
      <c r="P89">
        <f t="shared" si="9"/>
        <v>0.81587183922246942</v>
      </c>
    </row>
    <row r="90" spans="1:16">
      <c r="A90" s="1">
        <f>'10_Clean_Meta'!A90</f>
        <v>46051</v>
      </c>
      <c r="B90" s="3" t="str">
        <f>'10_Clean_Meta'!B90</f>
        <v>Meta</v>
      </c>
      <c r="C90" s="3" t="str">
        <f>'10_Clean_Meta'!C90</f>
        <v>Campaign_B</v>
      </c>
      <c r="D90" s="3" t="str">
        <f>'10_Clean_Meta'!D90</f>
        <v>Retargeting</v>
      </c>
      <c r="E90" s="3" t="str">
        <f>'10_Clean_Meta'!E90</f>
        <v>Creative_3</v>
      </c>
      <c r="F90" s="3">
        <f>'10_Clean_Meta'!F90</f>
        <v>269.2</v>
      </c>
      <c r="G90" s="3">
        <f>'10_Clean_Meta'!G90</f>
        <v>3082</v>
      </c>
      <c r="H90" s="3">
        <f>'10_Clean_Meta'!H90</f>
        <v>873</v>
      </c>
      <c r="I90" s="3">
        <f>'10_Clean_Meta'!I90</f>
        <v>102</v>
      </c>
      <c r="J90" s="3">
        <f>'10_Clean_Meta'!J90</f>
        <v>17</v>
      </c>
      <c r="K90" s="3">
        <f>'10_Clean_Meta'!K90</f>
        <v>134.66</v>
      </c>
      <c r="L90">
        <f t="shared" si="5"/>
        <v>0.28325762491888384</v>
      </c>
      <c r="M90" s="3">
        <f t="shared" si="6"/>
        <v>1.9473081328751432E-2</v>
      </c>
      <c r="N90" s="3">
        <f t="shared" si="7"/>
        <v>0.30836197021764034</v>
      </c>
      <c r="O90" s="3">
        <f t="shared" si="8"/>
        <v>15.835294117647058</v>
      </c>
      <c r="P90">
        <f t="shared" si="9"/>
        <v>0.50022288261515602</v>
      </c>
    </row>
    <row r="91" spans="1:16">
      <c r="A91" s="1">
        <f>'10_Clean_Meta'!A91</f>
        <v>46052</v>
      </c>
      <c r="B91" s="3" t="str">
        <f>'10_Clean_Meta'!B91</f>
        <v>Meta</v>
      </c>
      <c r="C91" s="3" t="str">
        <f>'10_Clean_Meta'!C91</f>
        <v>Campaign_A</v>
      </c>
      <c r="D91" s="3" t="str">
        <f>'10_Clean_Meta'!D91</f>
        <v>Retargeting</v>
      </c>
      <c r="E91" s="3" t="str">
        <f>'10_Clean_Meta'!E91</f>
        <v>Creative_2</v>
      </c>
      <c r="F91" s="3">
        <f>'10_Clean_Meta'!F91</f>
        <v>114.64</v>
      </c>
      <c r="G91" s="3">
        <f>'10_Clean_Meta'!G91</f>
        <v>17281</v>
      </c>
      <c r="H91" s="3">
        <f>'10_Clean_Meta'!H91</f>
        <v>978</v>
      </c>
      <c r="I91" s="3">
        <f>'10_Clean_Meta'!I91</f>
        <v>109</v>
      </c>
      <c r="J91" s="3">
        <f>'10_Clean_Meta'!J91</f>
        <v>20</v>
      </c>
      <c r="K91" s="3">
        <f>'10_Clean_Meta'!K91</f>
        <v>1424.23</v>
      </c>
      <c r="L91">
        <f t="shared" si="5"/>
        <v>5.659394710954227E-2</v>
      </c>
      <c r="M91" s="3">
        <f t="shared" si="6"/>
        <v>2.0449897750511249E-2</v>
      </c>
      <c r="N91" s="3">
        <f t="shared" si="7"/>
        <v>0.11721881390593047</v>
      </c>
      <c r="O91" s="3">
        <f t="shared" si="8"/>
        <v>5.7320000000000002</v>
      </c>
      <c r="P91">
        <f t="shared" si="9"/>
        <v>12.423499651081647</v>
      </c>
    </row>
    <row r="92" spans="1:16">
      <c r="A92" s="1">
        <f>'10_Clean_Meta'!A92</f>
        <v>46023</v>
      </c>
      <c r="B92" s="3" t="str">
        <f>'10_Clean_Meta'!B92</f>
        <v>Meta</v>
      </c>
      <c r="C92" s="3" t="str">
        <f>'10_Clean_Meta'!C92</f>
        <v>Campaign_A</v>
      </c>
      <c r="D92" s="3" t="str">
        <f>'10_Clean_Meta'!D92</f>
        <v>Retargeting</v>
      </c>
      <c r="E92" s="3" t="str">
        <f>'10_Clean_Meta'!E92</f>
        <v>Creative_2</v>
      </c>
      <c r="F92" s="3">
        <f>'10_Clean_Meta'!F92</f>
        <v>125.16</v>
      </c>
      <c r="G92" s="3">
        <f>'10_Clean_Meta'!G92</f>
        <v>16305</v>
      </c>
      <c r="H92" s="3">
        <f>'10_Clean_Meta'!H92</f>
        <v>983</v>
      </c>
      <c r="I92" s="3">
        <f>'10_Clean_Meta'!I92</f>
        <v>103</v>
      </c>
      <c r="J92" s="3">
        <f>'10_Clean_Meta'!J92</f>
        <v>24</v>
      </c>
      <c r="K92" s="3">
        <f>'10_Clean_Meta'!K92</f>
        <v>1994.79</v>
      </c>
      <c r="L92">
        <f t="shared" si="5"/>
        <v>6.0288255136461209E-2</v>
      </c>
      <c r="M92" s="3">
        <f t="shared" si="6"/>
        <v>2.4415055951169887E-2</v>
      </c>
      <c r="N92" s="3">
        <f t="shared" si="7"/>
        <v>0.12732451678535095</v>
      </c>
      <c r="O92" s="3">
        <f t="shared" si="8"/>
        <v>5.2149999999999999</v>
      </c>
      <c r="P92">
        <f t="shared" si="9"/>
        <v>15.937919463087248</v>
      </c>
    </row>
    <row r="93" spans="1:16">
      <c r="A93" s="1">
        <f>'10_Clean_Meta'!A93</f>
        <v>46024</v>
      </c>
      <c r="B93" s="3" t="str">
        <f>'10_Clean_Meta'!B93</f>
        <v>Meta</v>
      </c>
      <c r="C93" s="3" t="str">
        <f>'10_Clean_Meta'!C93</f>
        <v>Campaign_A</v>
      </c>
      <c r="D93" s="3" t="str">
        <f>'10_Clean_Meta'!D93</f>
        <v>Retargeting</v>
      </c>
      <c r="E93" s="3" t="str">
        <f>'10_Clean_Meta'!E93</f>
        <v>Creative_3</v>
      </c>
      <c r="F93" s="3">
        <f>'10_Clean_Meta'!F93</f>
        <v>46.31</v>
      </c>
      <c r="G93" s="3">
        <f>'10_Clean_Meta'!G93</f>
        <v>10817</v>
      </c>
      <c r="H93" s="3">
        <f>'10_Clean_Meta'!H93</f>
        <v>1190</v>
      </c>
      <c r="I93" s="3">
        <f>'10_Clean_Meta'!I93</f>
        <v>5</v>
      </c>
      <c r="J93" s="3">
        <f>'10_Clean_Meta'!J93</f>
        <v>5</v>
      </c>
      <c r="K93" s="3">
        <f>'10_Clean_Meta'!K93</f>
        <v>1803.56</v>
      </c>
      <c r="L93">
        <f t="shared" si="5"/>
        <v>0.11001201811962652</v>
      </c>
      <c r="M93" s="3">
        <f t="shared" si="6"/>
        <v>4.2016806722689074E-3</v>
      </c>
      <c r="N93" s="3">
        <f t="shared" si="7"/>
        <v>3.8915966386554625E-2</v>
      </c>
      <c r="O93" s="3">
        <f t="shared" si="8"/>
        <v>9.2620000000000005</v>
      </c>
      <c r="P93">
        <f t="shared" si="9"/>
        <v>38.945368171021371</v>
      </c>
    </row>
    <row r="94" spans="1:16">
      <c r="A94" s="1">
        <f>'10_Clean_Meta'!A94</f>
        <v>46025</v>
      </c>
      <c r="B94" s="3" t="str">
        <f>'10_Clean_Meta'!B94</f>
        <v>Meta</v>
      </c>
      <c r="C94" s="3" t="str">
        <f>'10_Clean_Meta'!C94</f>
        <v>Campaign_A</v>
      </c>
      <c r="D94" s="3" t="str">
        <f>'10_Clean_Meta'!D94</f>
        <v>Retargeting</v>
      </c>
      <c r="E94" s="3" t="str">
        <f>'10_Clean_Meta'!E94</f>
        <v>Creative_3</v>
      </c>
      <c r="F94" s="3">
        <f>'10_Clean_Meta'!F94</f>
        <v>181.92</v>
      </c>
      <c r="G94" s="3">
        <f>'10_Clean_Meta'!G94</f>
        <v>12261</v>
      </c>
      <c r="H94" s="3">
        <f>'10_Clean_Meta'!H94</f>
        <v>183</v>
      </c>
      <c r="I94" s="3">
        <f>'10_Clean_Meta'!I94</f>
        <v>25</v>
      </c>
      <c r="J94" s="3">
        <f>'10_Clean_Meta'!J94</f>
        <v>34</v>
      </c>
      <c r="K94" s="3">
        <f>'10_Clean_Meta'!K94</f>
        <v>1194.4000000000001</v>
      </c>
      <c r="L94">
        <f t="shared" si="5"/>
        <v>1.4925373134328358E-2</v>
      </c>
      <c r="M94" s="3">
        <f t="shared" si="6"/>
        <v>0.18579234972677597</v>
      </c>
      <c r="N94" s="3">
        <f t="shared" si="7"/>
        <v>0.99409836065573765</v>
      </c>
      <c r="O94" s="3">
        <f t="shared" si="8"/>
        <v>5.3505882352941176</v>
      </c>
      <c r="P94">
        <f t="shared" si="9"/>
        <v>6.5655233069481103</v>
      </c>
    </row>
    <row r="95" spans="1:16">
      <c r="A95" s="1">
        <f>'10_Clean_Meta'!A95</f>
        <v>46026</v>
      </c>
      <c r="B95" s="3" t="str">
        <f>'10_Clean_Meta'!B95</f>
        <v>Meta</v>
      </c>
      <c r="C95" s="3" t="str">
        <f>'10_Clean_Meta'!C95</f>
        <v>Campaign_C</v>
      </c>
      <c r="D95" s="3" t="str">
        <f>'10_Clean_Meta'!D95</f>
        <v>Retargeting</v>
      </c>
      <c r="E95" s="3" t="str">
        <f>'10_Clean_Meta'!E95</f>
        <v>Creative_2</v>
      </c>
      <c r="F95" s="3">
        <f>'10_Clean_Meta'!F95</f>
        <v>30.06</v>
      </c>
      <c r="G95" s="3">
        <f>'10_Clean_Meta'!G95</f>
        <v>1417</v>
      </c>
      <c r="H95" s="3">
        <f>'10_Clean_Meta'!H95</f>
        <v>107</v>
      </c>
      <c r="I95" s="3">
        <f>'10_Clean_Meta'!I95</f>
        <v>116</v>
      </c>
      <c r="J95" s="3">
        <f>'10_Clean_Meta'!J95</f>
        <v>6</v>
      </c>
      <c r="K95" s="3">
        <f>'10_Clean_Meta'!K95</f>
        <v>1843.05</v>
      </c>
      <c r="L95">
        <f t="shared" si="5"/>
        <v>7.5511644318983773E-2</v>
      </c>
      <c r="M95" s="3">
        <f t="shared" si="6"/>
        <v>5.6074766355140186E-2</v>
      </c>
      <c r="N95" s="3">
        <f t="shared" si="7"/>
        <v>0.28093457943925232</v>
      </c>
      <c r="O95" s="3">
        <f t="shared" si="8"/>
        <v>5.01</v>
      </c>
      <c r="P95">
        <f t="shared" si="9"/>
        <v>61.312375249501002</v>
      </c>
    </row>
    <row r="96" spans="1:16">
      <c r="A96" s="1">
        <f>'10_Clean_Meta'!A96</f>
        <v>46027</v>
      </c>
      <c r="B96" s="3" t="str">
        <f>'10_Clean_Meta'!B96</f>
        <v>Meta</v>
      </c>
      <c r="C96" s="3" t="str">
        <f>'10_Clean_Meta'!C96</f>
        <v>Campaign_A</v>
      </c>
      <c r="D96" s="3" t="str">
        <f>'10_Clean_Meta'!D96</f>
        <v>Retargeting</v>
      </c>
      <c r="E96" s="3" t="str">
        <f>'10_Clean_Meta'!E96</f>
        <v>Creative_1</v>
      </c>
      <c r="F96" s="3">
        <f>'10_Clean_Meta'!F96</f>
        <v>150.37</v>
      </c>
      <c r="G96" s="3">
        <f>'10_Clean_Meta'!G96</f>
        <v>9808</v>
      </c>
      <c r="H96" s="3">
        <f>'10_Clean_Meta'!H96</f>
        <v>734</v>
      </c>
      <c r="I96" s="3">
        <f>'10_Clean_Meta'!I96</f>
        <v>59</v>
      </c>
      <c r="J96" s="3">
        <f>'10_Clean_Meta'!J96</f>
        <v>53</v>
      </c>
      <c r="K96" s="3">
        <f>'10_Clean_Meta'!K96</f>
        <v>110.07</v>
      </c>
      <c r="L96">
        <f t="shared" si="5"/>
        <v>7.4836867862969003E-2</v>
      </c>
      <c r="M96" s="3">
        <f t="shared" si="6"/>
        <v>7.2207084468664848E-2</v>
      </c>
      <c r="N96" s="3">
        <f t="shared" si="7"/>
        <v>0.20486376021798366</v>
      </c>
      <c r="O96" s="3">
        <f t="shared" si="8"/>
        <v>2.8371698113207549</v>
      </c>
      <c r="P96">
        <f t="shared" si="9"/>
        <v>0.73199441377934427</v>
      </c>
    </row>
    <row r="97" spans="1:16">
      <c r="A97" s="1">
        <f>'10_Clean_Meta'!A97</f>
        <v>46028</v>
      </c>
      <c r="B97" s="3" t="str">
        <f>'10_Clean_Meta'!B97</f>
        <v>Meta</v>
      </c>
      <c r="C97" s="3" t="str">
        <f>'10_Clean_Meta'!C97</f>
        <v>Campaign_A</v>
      </c>
      <c r="D97" s="3" t="str">
        <f>'10_Clean_Meta'!D97</f>
        <v>Retargeting</v>
      </c>
      <c r="E97" s="3" t="str">
        <f>'10_Clean_Meta'!E97</f>
        <v>Creative_1</v>
      </c>
      <c r="F97" s="3">
        <f>'10_Clean_Meta'!F97</f>
        <v>171.94</v>
      </c>
      <c r="G97" s="3">
        <f>'10_Clean_Meta'!G97</f>
        <v>4267</v>
      </c>
      <c r="H97" s="3">
        <f>'10_Clean_Meta'!H97</f>
        <v>721</v>
      </c>
      <c r="I97" s="3">
        <f>'10_Clean_Meta'!I97</f>
        <v>10</v>
      </c>
      <c r="J97" s="3">
        <f>'10_Clean_Meta'!J97</f>
        <v>2</v>
      </c>
      <c r="K97" s="3">
        <f>'10_Clean_Meta'!K97</f>
        <v>1952.63</v>
      </c>
      <c r="L97">
        <f t="shared" si="5"/>
        <v>0.16897117412702134</v>
      </c>
      <c r="M97" s="3">
        <f t="shared" si="6"/>
        <v>2.7739251040221915E-3</v>
      </c>
      <c r="N97" s="3">
        <f t="shared" si="7"/>
        <v>0.23847434119278779</v>
      </c>
      <c r="O97" s="3">
        <f t="shared" si="8"/>
        <v>85.97</v>
      </c>
      <c r="P97">
        <f t="shared" si="9"/>
        <v>11.356461556356869</v>
      </c>
    </row>
    <row r="98" spans="1:16">
      <c r="A98" s="1">
        <f>'10_Clean_Meta'!A98</f>
        <v>46029</v>
      </c>
      <c r="B98" s="3" t="str">
        <f>'10_Clean_Meta'!B98</f>
        <v>Meta</v>
      </c>
      <c r="C98" s="3" t="str">
        <f>'10_Clean_Meta'!C98</f>
        <v>Campaign_A</v>
      </c>
      <c r="D98" s="3" t="str">
        <f>'10_Clean_Meta'!D98</f>
        <v>Prospecting</v>
      </c>
      <c r="E98" s="3" t="str">
        <f>'10_Clean_Meta'!E98</f>
        <v>Creative_2</v>
      </c>
      <c r="F98" s="3">
        <f>'10_Clean_Meta'!F98</f>
        <v>100.23</v>
      </c>
      <c r="G98" s="3">
        <f>'10_Clean_Meta'!G98</f>
        <v>18209</v>
      </c>
      <c r="H98" s="3">
        <f>'10_Clean_Meta'!H98</f>
        <v>222</v>
      </c>
      <c r="I98" s="3">
        <f>'10_Clean_Meta'!I98</f>
        <v>96</v>
      </c>
      <c r="J98" s="3">
        <f>'10_Clean_Meta'!J98</f>
        <v>13</v>
      </c>
      <c r="K98" s="3">
        <f>'10_Clean_Meta'!K98</f>
        <v>1032.42</v>
      </c>
      <c r="L98">
        <f t="shared" si="5"/>
        <v>1.2191773298918117E-2</v>
      </c>
      <c r="M98" s="3">
        <f t="shared" si="6"/>
        <v>5.8558558558558557E-2</v>
      </c>
      <c r="N98" s="3">
        <f t="shared" si="7"/>
        <v>0.45148648648648648</v>
      </c>
      <c r="O98" s="3">
        <f t="shared" si="8"/>
        <v>7.71</v>
      </c>
      <c r="P98">
        <f t="shared" si="9"/>
        <v>10.30050882969171</v>
      </c>
    </row>
    <row r="99" spans="1:16">
      <c r="A99" s="1">
        <f>'10_Clean_Meta'!A99</f>
        <v>46030</v>
      </c>
      <c r="B99" s="3" t="str">
        <f>'10_Clean_Meta'!B99</f>
        <v>Meta</v>
      </c>
      <c r="C99" s="3" t="str">
        <f>'10_Clean_Meta'!C99</f>
        <v>Campaign_C</v>
      </c>
      <c r="D99" s="3" t="str">
        <f>'10_Clean_Meta'!D99</f>
        <v>Retargeting</v>
      </c>
      <c r="E99" s="3" t="str">
        <f>'10_Clean_Meta'!E99</f>
        <v>Creative_1</v>
      </c>
      <c r="F99" s="3">
        <f>'10_Clean_Meta'!F99</f>
        <v>185.43</v>
      </c>
      <c r="G99" s="3">
        <f>'10_Clean_Meta'!G99</f>
        <v>6745</v>
      </c>
      <c r="H99" s="3">
        <f>'10_Clean_Meta'!H99</f>
        <v>864</v>
      </c>
      <c r="I99" s="3">
        <f>'10_Clean_Meta'!I99</f>
        <v>85</v>
      </c>
      <c r="J99" s="3">
        <f>'10_Clean_Meta'!J99</f>
        <v>43</v>
      </c>
      <c r="K99" s="3">
        <f>'10_Clean_Meta'!K99</f>
        <v>1473.5</v>
      </c>
      <c r="L99">
        <f t="shared" si="5"/>
        <v>0.12809488510007414</v>
      </c>
      <c r="M99" s="3">
        <f t="shared" si="6"/>
        <v>4.9768518518518517E-2</v>
      </c>
      <c r="N99" s="3">
        <f t="shared" si="7"/>
        <v>0.21461805555555558</v>
      </c>
      <c r="O99" s="3">
        <f t="shared" si="8"/>
        <v>4.3123255813953492</v>
      </c>
      <c r="P99">
        <f t="shared" si="9"/>
        <v>7.9463948659871644</v>
      </c>
    </row>
    <row r="100" spans="1:16">
      <c r="A100" s="1">
        <f>'10_Clean_Meta'!A100</f>
        <v>46031</v>
      </c>
      <c r="B100" s="3" t="str">
        <f>'10_Clean_Meta'!B100</f>
        <v>Meta</v>
      </c>
      <c r="C100" s="3" t="str">
        <f>'10_Clean_Meta'!C100</f>
        <v>Campaign_A</v>
      </c>
      <c r="D100" s="3" t="str">
        <f>'10_Clean_Meta'!D100</f>
        <v>Retargeting</v>
      </c>
      <c r="E100" s="3" t="str">
        <f>'10_Clean_Meta'!E100</f>
        <v>Creative_2</v>
      </c>
      <c r="F100" s="3">
        <f>'10_Clean_Meta'!F100</f>
        <v>28.54</v>
      </c>
      <c r="G100" s="3">
        <f>'10_Clean_Meta'!G100</f>
        <v>12338</v>
      </c>
      <c r="H100" s="3">
        <f>'10_Clean_Meta'!H100</f>
        <v>129</v>
      </c>
      <c r="I100" s="3">
        <f>'10_Clean_Meta'!I100</f>
        <v>73</v>
      </c>
      <c r="J100" s="3">
        <f>'10_Clean_Meta'!J100</f>
        <v>43</v>
      </c>
      <c r="K100" s="3">
        <f>'10_Clean_Meta'!K100</f>
        <v>1659.64</v>
      </c>
      <c r="L100">
        <f t="shared" si="5"/>
        <v>1.0455503323066948E-2</v>
      </c>
      <c r="M100" s="3">
        <f t="shared" si="6"/>
        <v>0.33333333333333331</v>
      </c>
      <c r="N100" s="3">
        <f t="shared" si="7"/>
        <v>0.22124031007751938</v>
      </c>
      <c r="O100" s="3">
        <f t="shared" si="8"/>
        <v>0.66372093023255807</v>
      </c>
      <c r="P100">
        <f t="shared" si="9"/>
        <v>58.151366503153476</v>
      </c>
    </row>
    <row r="101" spans="1:16">
      <c r="A101" s="1">
        <f>'10_Clean_Meta'!A101</f>
        <v>46032</v>
      </c>
      <c r="B101" s="3" t="str">
        <f>'10_Clean_Meta'!B101</f>
        <v>Meta</v>
      </c>
      <c r="C101" s="3" t="str">
        <f>'10_Clean_Meta'!C101</f>
        <v>Campaign_A</v>
      </c>
      <c r="D101" s="3" t="str">
        <f>'10_Clean_Meta'!D101</f>
        <v>Prospecting</v>
      </c>
      <c r="E101" s="3" t="str">
        <f>'10_Clean_Meta'!E101</f>
        <v>Creative_1</v>
      </c>
      <c r="F101" s="3">
        <f>'10_Clean_Meta'!F101</f>
        <v>30.46</v>
      </c>
      <c r="G101" s="3">
        <f>'10_Clean_Meta'!G101</f>
        <v>1412</v>
      </c>
      <c r="H101" s="3">
        <f>'10_Clean_Meta'!H101</f>
        <v>935</v>
      </c>
      <c r="I101" s="3">
        <f>'10_Clean_Meta'!I101</f>
        <v>99</v>
      </c>
      <c r="J101" s="3">
        <f>'10_Clean_Meta'!J101</f>
        <v>48</v>
      </c>
      <c r="K101" s="3">
        <f>'10_Clean_Meta'!K101</f>
        <v>1465.07</v>
      </c>
      <c r="L101">
        <f t="shared" si="5"/>
        <v>0.66218130311614731</v>
      </c>
      <c r="M101" s="3">
        <f t="shared" si="6"/>
        <v>5.1336898395721926E-2</v>
      </c>
      <c r="N101" s="3">
        <f t="shared" si="7"/>
        <v>3.2577540106951873E-2</v>
      </c>
      <c r="O101" s="3">
        <f t="shared" si="8"/>
        <v>0.63458333333333339</v>
      </c>
      <c r="P101">
        <f t="shared" si="9"/>
        <v>48.098161523309251</v>
      </c>
    </row>
    <row r="102" spans="1:16">
      <c r="A102" s="4">
        <f>'11_Clean_Google'!A2</f>
        <v>46023</v>
      </c>
      <c r="B102" s="4" t="str">
        <f>'11_Clean_Google'!B2</f>
        <v>Google</v>
      </c>
      <c r="C102" s="4" t="str">
        <f>'11_Clean_Google'!C2</f>
        <v>PMax</v>
      </c>
      <c r="D102" s="4" t="str">
        <f>'11_Clean_Google'!D2</f>
        <v>Group_2</v>
      </c>
      <c r="E102" s="4" t="str">
        <f>'11_Clean_Google'!E2</f>
        <v>Headline_A</v>
      </c>
      <c r="F102" s="8">
        <f>'11_Clean_Google'!F2</f>
        <v>74.66</v>
      </c>
      <c r="G102" s="8">
        <f>'11_Clean_Google'!G2</f>
        <v>6922</v>
      </c>
      <c r="H102" s="8">
        <f>'11_Clean_Google'!H2</f>
        <v>649</v>
      </c>
      <c r="I102" s="8">
        <f>'11_Clean_Google'!I2</f>
        <v>0</v>
      </c>
      <c r="J102" s="8">
        <f>'11_Clean_Google'!J2</f>
        <v>26</v>
      </c>
      <c r="K102" s="8">
        <f>'11_Clean_Google'!K2</f>
        <v>106.17</v>
      </c>
      <c r="L102">
        <f t="shared" si="5"/>
        <v>9.3759029182317252E-2</v>
      </c>
      <c r="M102" s="3">
        <f t="shared" si="6"/>
        <v>4.0061633281972264E-2</v>
      </c>
      <c r="N102" s="3">
        <f t="shared" si="7"/>
        <v>0.11503852080123265</v>
      </c>
      <c r="O102" s="3">
        <f t="shared" si="8"/>
        <v>2.8715384615384614</v>
      </c>
      <c r="P102">
        <f t="shared" si="9"/>
        <v>1.4220466113045809</v>
      </c>
    </row>
    <row r="103" spans="1:16">
      <c r="A103" s="4">
        <f>'11_Clean_Google'!A3</f>
        <v>46024</v>
      </c>
      <c r="B103" s="4" t="str">
        <f>'11_Clean_Google'!B3</f>
        <v>Google</v>
      </c>
      <c r="C103" s="4" t="str">
        <f>'11_Clean_Google'!C3</f>
        <v>Search_Generic</v>
      </c>
      <c r="D103" s="4" t="str">
        <f>'11_Clean_Google'!D3</f>
        <v>Group_2</v>
      </c>
      <c r="E103" s="4" t="str">
        <f>'11_Clean_Google'!E3</f>
        <v>Headline_C</v>
      </c>
      <c r="F103" s="8">
        <f>'11_Clean_Google'!F3</f>
        <v>61.09</v>
      </c>
      <c r="G103" s="8">
        <f>'11_Clean_Google'!G3</f>
        <v>1281</v>
      </c>
      <c r="H103" s="8">
        <f>'11_Clean_Google'!H3</f>
        <v>217</v>
      </c>
      <c r="I103" s="8">
        <f>'11_Clean_Google'!I3</f>
        <v>0</v>
      </c>
      <c r="J103" s="8">
        <f>'11_Clean_Google'!J3</f>
        <v>3</v>
      </c>
      <c r="K103" s="8">
        <f>'11_Clean_Google'!K3</f>
        <v>693.78</v>
      </c>
      <c r="L103">
        <f t="shared" si="5"/>
        <v>0.16939890710382513</v>
      </c>
      <c r="M103" s="3">
        <f t="shared" si="6"/>
        <v>1.3824884792626729E-2</v>
      </c>
      <c r="N103" s="3">
        <f t="shared" si="7"/>
        <v>0.28152073732718896</v>
      </c>
      <c r="O103" s="3">
        <f t="shared" si="8"/>
        <v>20.363333333333333</v>
      </c>
      <c r="P103">
        <f t="shared" si="9"/>
        <v>11.356686855459158</v>
      </c>
    </row>
    <row r="104" spans="1:16">
      <c r="A104" s="4">
        <f>'11_Clean_Google'!A4</f>
        <v>46025</v>
      </c>
      <c r="B104" s="4" t="str">
        <f>'11_Clean_Google'!B4</f>
        <v>Google</v>
      </c>
      <c r="C104" s="4" t="str">
        <f>'11_Clean_Google'!C4</f>
        <v>PMax</v>
      </c>
      <c r="D104" s="4" t="str">
        <f>'11_Clean_Google'!D4</f>
        <v>Group_3</v>
      </c>
      <c r="E104" s="4" t="str">
        <f>'11_Clean_Google'!E4</f>
        <v>Headline_A</v>
      </c>
      <c r="F104" s="8">
        <f>'11_Clean_Google'!F4</f>
        <v>133.79</v>
      </c>
      <c r="G104" s="8">
        <f>'11_Clean_Google'!G4</f>
        <v>953</v>
      </c>
      <c r="H104" s="8">
        <f>'11_Clean_Google'!H4</f>
        <v>842</v>
      </c>
      <c r="I104" s="8">
        <f>'11_Clean_Google'!I4</f>
        <v>0</v>
      </c>
      <c r="J104" s="8">
        <f>'11_Clean_Google'!J4</f>
        <v>6</v>
      </c>
      <c r="K104" s="8">
        <f>'11_Clean_Google'!K4</f>
        <v>1272.97</v>
      </c>
      <c r="L104">
        <f t="shared" si="5"/>
        <v>0.88352570828961174</v>
      </c>
      <c r="M104" s="3">
        <f t="shared" si="6"/>
        <v>7.1258907363420431E-3</v>
      </c>
      <c r="N104" s="3">
        <f t="shared" si="7"/>
        <v>0.15889548693586697</v>
      </c>
      <c r="O104" s="3">
        <f t="shared" si="8"/>
        <v>22.298333333333332</v>
      </c>
      <c r="P104">
        <f t="shared" si="9"/>
        <v>9.5146871963524937</v>
      </c>
    </row>
    <row r="105" spans="1:16">
      <c r="A105" s="4">
        <f>'11_Clean_Google'!A5</f>
        <v>46026</v>
      </c>
      <c r="B105" s="4" t="str">
        <f>'11_Clean_Google'!B5</f>
        <v>Google</v>
      </c>
      <c r="C105" s="4" t="str">
        <f>'11_Clean_Google'!C5</f>
        <v>Search_Brand</v>
      </c>
      <c r="D105" s="4" t="str">
        <f>'11_Clean_Google'!D5</f>
        <v>Group_3</v>
      </c>
      <c r="E105" s="4" t="str">
        <f>'11_Clean_Google'!E5</f>
        <v>Headline_A</v>
      </c>
      <c r="F105" s="8">
        <f>'11_Clean_Google'!F5</f>
        <v>154.84</v>
      </c>
      <c r="G105" s="8">
        <f>'11_Clean_Google'!G5</f>
        <v>8417</v>
      </c>
      <c r="H105" s="8">
        <f>'11_Clean_Google'!H5</f>
        <v>127</v>
      </c>
      <c r="I105" s="8">
        <f>'11_Clean_Google'!I5</f>
        <v>0</v>
      </c>
      <c r="J105" s="8">
        <f>'11_Clean_Google'!J5</f>
        <v>5</v>
      </c>
      <c r="K105" s="8">
        <f>'11_Clean_Google'!K5</f>
        <v>636.85</v>
      </c>
      <c r="L105">
        <f t="shared" si="5"/>
        <v>1.5088511346085303E-2</v>
      </c>
      <c r="M105" s="3">
        <f t="shared" si="6"/>
        <v>3.937007874015748E-2</v>
      </c>
      <c r="N105" s="3">
        <f t="shared" si="7"/>
        <v>1.2192125984251969</v>
      </c>
      <c r="O105" s="3">
        <f t="shared" si="8"/>
        <v>30.968</v>
      </c>
      <c r="P105">
        <f t="shared" si="9"/>
        <v>4.1129553087057609</v>
      </c>
    </row>
    <row r="106" spans="1:16">
      <c r="A106" s="4">
        <f>'11_Clean_Google'!A6</f>
        <v>46027</v>
      </c>
      <c r="B106" s="4" t="str">
        <f>'11_Clean_Google'!B6</f>
        <v>Google</v>
      </c>
      <c r="C106" s="4" t="str">
        <f>'11_Clean_Google'!C6</f>
        <v>Search_Brand</v>
      </c>
      <c r="D106" s="4" t="str">
        <f>'11_Clean_Google'!D6</f>
        <v>Group_3</v>
      </c>
      <c r="E106" s="4" t="str">
        <f>'11_Clean_Google'!E6</f>
        <v>Headline_A</v>
      </c>
      <c r="F106" s="8">
        <f>'11_Clean_Google'!F6</f>
        <v>94.73</v>
      </c>
      <c r="G106" s="8">
        <f>'11_Clean_Google'!G6</f>
        <v>2324</v>
      </c>
      <c r="H106" s="8">
        <f>'11_Clean_Google'!H6</f>
        <v>160</v>
      </c>
      <c r="I106" s="8">
        <f>'11_Clean_Google'!I6</f>
        <v>0</v>
      </c>
      <c r="J106" s="8">
        <f>'11_Clean_Google'!J6</f>
        <v>5</v>
      </c>
      <c r="K106" s="8">
        <f>'11_Clean_Google'!K6</f>
        <v>334.89</v>
      </c>
      <c r="L106">
        <f t="shared" si="5"/>
        <v>6.8846815834767636E-2</v>
      </c>
      <c r="M106" s="3">
        <f t="shared" si="6"/>
        <v>3.125E-2</v>
      </c>
      <c r="N106" s="3">
        <f t="shared" si="7"/>
        <v>0.59206250000000005</v>
      </c>
      <c r="O106" s="3">
        <f t="shared" si="8"/>
        <v>18.946000000000002</v>
      </c>
      <c r="P106">
        <f t="shared" si="9"/>
        <v>3.5352053203842497</v>
      </c>
    </row>
    <row r="107" spans="1:16">
      <c r="A107" s="4">
        <f>'11_Clean_Google'!A7</f>
        <v>46028</v>
      </c>
      <c r="B107" s="4" t="str">
        <f>'11_Clean_Google'!B7</f>
        <v>Google</v>
      </c>
      <c r="C107" s="4" t="str">
        <f>'11_Clean_Google'!C7</f>
        <v>Search_Generic</v>
      </c>
      <c r="D107" s="4" t="str">
        <f>'11_Clean_Google'!D7</f>
        <v>Group_2</v>
      </c>
      <c r="E107" s="4" t="str">
        <f>'11_Clean_Google'!E7</f>
        <v>Headline_B</v>
      </c>
      <c r="F107" s="8">
        <f>'11_Clean_Google'!F7</f>
        <v>148.82</v>
      </c>
      <c r="G107" s="8">
        <f>'11_Clean_Google'!G7</f>
        <v>2920</v>
      </c>
      <c r="H107" s="8">
        <f>'11_Clean_Google'!H7</f>
        <v>834</v>
      </c>
      <c r="I107" s="8">
        <f>'11_Clean_Google'!I7</f>
        <v>0</v>
      </c>
      <c r="J107" s="8">
        <f>'11_Clean_Google'!J7</f>
        <v>23</v>
      </c>
      <c r="K107" s="8">
        <f>'11_Clean_Google'!K7</f>
        <v>1150.25</v>
      </c>
      <c r="L107">
        <f t="shared" si="5"/>
        <v>0.2856164383561644</v>
      </c>
      <c r="M107" s="3">
        <f t="shared" si="6"/>
        <v>2.7577937649880094E-2</v>
      </c>
      <c r="N107" s="3">
        <f t="shared" si="7"/>
        <v>0.17844124700239808</v>
      </c>
      <c r="O107" s="3">
        <f t="shared" si="8"/>
        <v>6.4704347826086952</v>
      </c>
      <c r="P107">
        <f t="shared" si="9"/>
        <v>7.7291358688348346</v>
      </c>
    </row>
    <row r="108" spans="1:16">
      <c r="A108" s="4">
        <f>'11_Clean_Google'!A8</f>
        <v>46029</v>
      </c>
      <c r="B108" s="4" t="str">
        <f>'11_Clean_Google'!B8</f>
        <v>Google</v>
      </c>
      <c r="C108" s="4" t="str">
        <f>'11_Clean_Google'!C8</f>
        <v>Search_Generic</v>
      </c>
      <c r="D108" s="4" t="str">
        <f>'11_Clean_Google'!D8</f>
        <v>Group_3</v>
      </c>
      <c r="E108" s="4" t="str">
        <f>'11_Clean_Google'!E8</f>
        <v>Headline_A</v>
      </c>
      <c r="F108" s="8">
        <f>'11_Clean_Google'!F8</f>
        <v>223.55</v>
      </c>
      <c r="G108" s="8">
        <f>'11_Clean_Google'!G8</f>
        <v>3143</v>
      </c>
      <c r="H108" s="8">
        <f>'11_Clean_Google'!H8</f>
        <v>200</v>
      </c>
      <c r="I108" s="8">
        <f>'11_Clean_Google'!I8</f>
        <v>0</v>
      </c>
      <c r="J108" s="8">
        <f>'11_Clean_Google'!J8</f>
        <v>9</v>
      </c>
      <c r="K108" s="8">
        <f>'11_Clean_Google'!K8</f>
        <v>1200.1099999999999</v>
      </c>
      <c r="L108">
        <f t="shared" si="5"/>
        <v>6.3633471205854275E-2</v>
      </c>
      <c r="M108" s="3">
        <f t="shared" si="6"/>
        <v>4.4999999999999998E-2</v>
      </c>
      <c r="N108" s="3">
        <f t="shared" si="7"/>
        <v>1.11775</v>
      </c>
      <c r="O108" s="3">
        <f t="shared" si="8"/>
        <v>24.838888888888889</v>
      </c>
      <c r="P108">
        <f t="shared" si="9"/>
        <v>5.3684186982777895</v>
      </c>
    </row>
    <row r="109" spans="1:16">
      <c r="A109" s="4">
        <f>'11_Clean_Google'!A9</f>
        <v>46030</v>
      </c>
      <c r="B109" s="4" t="str">
        <f>'11_Clean_Google'!B9</f>
        <v>Google</v>
      </c>
      <c r="C109" s="4" t="str">
        <f>'11_Clean_Google'!C9</f>
        <v>Search_Generic</v>
      </c>
      <c r="D109" s="4" t="str">
        <f>'11_Clean_Google'!D9</f>
        <v>Group_3</v>
      </c>
      <c r="E109" s="4" t="str">
        <f>'11_Clean_Google'!E9</f>
        <v>Headline_A</v>
      </c>
      <c r="F109" s="8">
        <f>'11_Clean_Google'!F9</f>
        <v>145.83000000000001</v>
      </c>
      <c r="G109" s="8">
        <f>'11_Clean_Google'!G9</f>
        <v>5936</v>
      </c>
      <c r="H109" s="8">
        <f>'11_Clean_Google'!H9</f>
        <v>212</v>
      </c>
      <c r="I109" s="8">
        <f>'11_Clean_Google'!I9</f>
        <v>0</v>
      </c>
      <c r="J109" s="8">
        <f>'11_Clean_Google'!J9</f>
        <v>35</v>
      </c>
      <c r="K109" s="8">
        <f>'11_Clean_Google'!K9</f>
        <v>326.73</v>
      </c>
      <c r="L109">
        <f t="shared" si="5"/>
        <v>3.5714285714285712E-2</v>
      </c>
      <c r="M109" s="3">
        <f t="shared" si="6"/>
        <v>0.1650943396226415</v>
      </c>
      <c r="N109" s="3">
        <f t="shared" si="7"/>
        <v>0.68787735849056608</v>
      </c>
      <c r="O109" s="3">
        <f t="shared" si="8"/>
        <v>4.1665714285714293</v>
      </c>
      <c r="P109">
        <f t="shared" si="9"/>
        <v>2.2404854968113557</v>
      </c>
    </row>
    <row r="110" spans="1:16">
      <c r="A110" s="4">
        <f>'11_Clean_Google'!A10</f>
        <v>46031</v>
      </c>
      <c r="B110" s="4" t="str">
        <f>'11_Clean_Google'!B10</f>
        <v>Google</v>
      </c>
      <c r="C110" s="4" t="str">
        <f>'11_Clean_Google'!C10</f>
        <v>PMax</v>
      </c>
      <c r="D110" s="4" t="str">
        <f>'11_Clean_Google'!D10</f>
        <v>Group_1</v>
      </c>
      <c r="E110" s="4" t="str">
        <f>'11_Clean_Google'!E10</f>
        <v>Headline_B</v>
      </c>
      <c r="F110" s="8">
        <f>'11_Clean_Google'!F10</f>
        <v>184.39</v>
      </c>
      <c r="G110" s="8">
        <f>'11_Clean_Google'!G10</f>
        <v>6560</v>
      </c>
      <c r="H110" s="8">
        <f>'11_Clean_Google'!H10</f>
        <v>393</v>
      </c>
      <c r="I110" s="8">
        <f>'11_Clean_Google'!I10</f>
        <v>0</v>
      </c>
      <c r="J110" s="8">
        <f>'11_Clean_Google'!J10</f>
        <v>20</v>
      </c>
      <c r="K110" s="8">
        <f>'11_Clean_Google'!K10</f>
        <v>1174.6099999999999</v>
      </c>
      <c r="L110">
        <f t="shared" si="5"/>
        <v>5.9908536585365851E-2</v>
      </c>
      <c r="M110" s="3">
        <f t="shared" si="6"/>
        <v>5.0890585241730277E-2</v>
      </c>
      <c r="N110" s="3">
        <f t="shared" si="7"/>
        <v>0.46918575063613227</v>
      </c>
      <c r="O110" s="3">
        <f t="shared" si="8"/>
        <v>9.2195</v>
      </c>
      <c r="P110">
        <f t="shared" si="9"/>
        <v>6.3702478442431802</v>
      </c>
    </row>
    <row r="111" spans="1:16">
      <c r="A111" s="4">
        <f>'11_Clean_Google'!A11</f>
        <v>46032</v>
      </c>
      <c r="B111" s="4" t="str">
        <f>'11_Clean_Google'!B11</f>
        <v>Google</v>
      </c>
      <c r="C111" s="4" t="str">
        <f>'11_Clean_Google'!C11</f>
        <v>Search_Brand</v>
      </c>
      <c r="D111" s="4" t="str">
        <f>'11_Clean_Google'!D11</f>
        <v>Group_1</v>
      </c>
      <c r="E111" s="4" t="str">
        <f>'11_Clean_Google'!E11</f>
        <v>Headline_A</v>
      </c>
      <c r="F111" s="8">
        <f>'11_Clean_Google'!F11</f>
        <v>204.25</v>
      </c>
      <c r="G111" s="8">
        <f>'11_Clean_Google'!G11</f>
        <v>2040</v>
      </c>
      <c r="H111" s="8">
        <f>'11_Clean_Google'!H11</f>
        <v>68</v>
      </c>
      <c r="I111" s="8">
        <f>'11_Clean_Google'!I11</f>
        <v>0</v>
      </c>
      <c r="J111" s="8">
        <f>'11_Clean_Google'!J11</f>
        <v>35</v>
      </c>
      <c r="K111" s="8">
        <f>'11_Clean_Google'!K11</f>
        <v>1425.16</v>
      </c>
      <c r="L111">
        <f t="shared" si="5"/>
        <v>3.3333333333333333E-2</v>
      </c>
      <c r="M111" s="3">
        <f t="shared" si="6"/>
        <v>0.51470588235294112</v>
      </c>
      <c r="N111" s="3">
        <f t="shared" si="7"/>
        <v>3.0036764705882355</v>
      </c>
      <c r="O111" s="3">
        <f t="shared" si="8"/>
        <v>5.8357142857142854</v>
      </c>
      <c r="P111">
        <f t="shared" si="9"/>
        <v>6.9775275397796825</v>
      </c>
    </row>
    <row r="112" spans="1:16">
      <c r="A112" s="4">
        <f>'11_Clean_Google'!A12</f>
        <v>46033</v>
      </c>
      <c r="B112" s="4" t="str">
        <f>'11_Clean_Google'!B12</f>
        <v>Google</v>
      </c>
      <c r="C112" s="4" t="str">
        <f>'11_Clean_Google'!C12</f>
        <v>Search_Brand</v>
      </c>
      <c r="D112" s="4" t="str">
        <f>'11_Clean_Google'!D12</f>
        <v>Group_2</v>
      </c>
      <c r="E112" s="4" t="str">
        <f>'11_Clean_Google'!E12</f>
        <v>Headline_C</v>
      </c>
      <c r="F112" s="8">
        <f>'11_Clean_Google'!F12</f>
        <v>247.35</v>
      </c>
      <c r="G112" s="8">
        <f>'11_Clean_Google'!G12</f>
        <v>860</v>
      </c>
      <c r="H112" s="8">
        <f>'11_Clean_Google'!H12</f>
        <v>556</v>
      </c>
      <c r="I112" s="8">
        <f>'11_Clean_Google'!I12</f>
        <v>0</v>
      </c>
      <c r="J112" s="8">
        <f>'11_Clean_Google'!J12</f>
        <v>18</v>
      </c>
      <c r="K112" s="8">
        <f>'11_Clean_Google'!K12</f>
        <v>316.26</v>
      </c>
      <c r="L112">
        <f t="shared" si="5"/>
        <v>0.64651162790697669</v>
      </c>
      <c r="M112" s="3">
        <f t="shared" si="6"/>
        <v>3.237410071942446E-2</v>
      </c>
      <c r="N112" s="3">
        <f t="shared" si="7"/>
        <v>0.44487410071942446</v>
      </c>
      <c r="O112" s="3">
        <f t="shared" si="8"/>
        <v>13.741666666666667</v>
      </c>
      <c r="P112">
        <f t="shared" si="9"/>
        <v>1.2785930867192237</v>
      </c>
    </row>
    <row r="113" spans="1:16">
      <c r="A113" s="4">
        <f>'11_Clean_Google'!A13</f>
        <v>46034</v>
      </c>
      <c r="B113" s="4" t="str">
        <f>'11_Clean_Google'!B13</f>
        <v>Google</v>
      </c>
      <c r="C113" s="4" t="str">
        <f>'11_Clean_Google'!C13</f>
        <v>PMax</v>
      </c>
      <c r="D113" s="4" t="str">
        <f>'11_Clean_Google'!D13</f>
        <v>Group_3</v>
      </c>
      <c r="E113" s="4" t="str">
        <f>'11_Clean_Google'!E13</f>
        <v>Headline_C</v>
      </c>
      <c r="F113" s="8">
        <f>'11_Clean_Google'!F13</f>
        <v>156.75</v>
      </c>
      <c r="G113" s="8">
        <f>'11_Clean_Google'!G13</f>
        <v>9930</v>
      </c>
      <c r="H113" s="8">
        <f>'11_Clean_Google'!H13</f>
        <v>526</v>
      </c>
      <c r="I113" s="8">
        <f>'11_Clean_Google'!I13</f>
        <v>0</v>
      </c>
      <c r="J113" s="8">
        <f>'11_Clean_Google'!J13</f>
        <v>17</v>
      </c>
      <c r="K113" s="8">
        <f>'11_Clean_Google'!K13</f>
        <v>1174.8</v>
      </c>
      <c r="L113">
        <f t="shared" si="5"/>
        <v>5.2970795568982883E-2</v>
      </c>
      <c r="M113" s="3">
        <f t="shared" si="6"/>
        <v>3.2319391634980987E-2</v>
      </c>
      <c r="N113" s="3">
        <f t="shared" si="7"/>
        <v>0.2980038022813688</v>
      </c>
      <c r="O113" s="3">
        <f t="shared" si="8"/>
        <v>9.2205882352941178</v>
      </c>
      <c r="P113">
        <f t="shared" si="9"/>
        <v>7.4947368421052625</v>
      </c>
    </row>
    <row r="114" spans="1:16">
      <c r="A114" s="4">
        <f>'11_Clean_Google'!A14</f>
        <v>46035</v>
      </c>
      <c r="B114" s="4" t="str">
        <f>'11_Clean_Google'!B14</f>
        <v>Google</v>
      </c>
      <c r="C114" s="4" t="str">
        <f>'11_Clean_Google'!C14</f>
        <v>Search_Brand</v>
      </c>
      <c r="D114" s="4" t="str">
        <f>'11_Clean_Google'!D14</f>
        <v>Group_3</v>
      </c>
      <c r="E114" s="4" t="str">
        <f>'11_Clean_Google'!E14</f>
        <v>Headline_A</v>
      </c>
      <c r="F114" s="8">
        <f>'11_Clean_Google'!F14</f>
        <v>204.61</v>
      </c>
      <c r="G114" s="8">
        <f>'11_Clean_Google'!G14</f>
        <v>2439</v>
      </c>
      <c r="H114" s="8">
        <f>'11_Clean_Google'!H14</f>
        <v>545</v>
      </c>
      <c r="I114" s="8">
        <f>'11_Clean_Google'!I14</f>
        <v>0</v>
      </c>
      <c r="J114" s="8">
        <f>'11_Clean_Google'!J14</f>
        <v>24</v>
      </c>
      <c r="K114" s="8">
        <f>'11_Clean_Google'!K14</f>
        <v>1086.17</v>
      </c>
      <c r="L114">
        <f t="shared" si="5"/>
        <v>0.22345223452234522</v>
      </c>
      <c r="M114" s="3">
        <f t="shared" si="6"/>
        <v>4.4036697247706424E-2</v>
      </c>
      <c r="N114" s="3">
        <f t="shared" si="7"/>
        <v>0.37543119266055047</v>
      </c>
      <c r="O114" s="3">
        <f t="shared" si="8"/>
        <v>8.5254166666666666</v>
      </c>
      <c r="P114">
        <f t="shared" si="9"/>
        <v>5.3084893211475492</v>
      </c>
    </row>
    <row r="115" spans="1:16">
      <c r="A115" s="4">
        <f>'11_Clean_Google'!A15</f>
        <v>46036</v>
      </c>
      <c r="B115" s="4" t="str">
        <f>'11_Clean_Google'!B15</f>
        <v>Google</v>
      </c>
      <c r="C115" s="4" t="str">
        <f>'11_Clean_Google'!C15</f>
        <v>Search_Generic</v>
      </c>
      <c r="D115" s="4" t="str">
        <f>'11_Clean_Google'!D15</f>
        <v>Group_1</v>
      </c>
      <c r="E115" s="4" t="str">
        <f>'11_Clean_Google'!E15</f>
        <v>Headline_B</v>
      </c>
      <c r="F115" s="8">
        <f>'11_Clean_Google'!F15</f>
        <v>241.22</v>
      </c>
      <c r="G115" s="8">
        <f>'11_Clean_Google'!G15</f>
        <v>6985</v>
      </c>
      <c r="H115" s="8">
        <f>'11_Clean_Google'!H15</f>
        <v>378</v>
      </c>
      <c r="I115" s="8">
        <f>'11_Clean_Google'!I15</f>
        <v>0</v>
      </c>
      <c r="J115" s="8">
        <f>'11_Clean_Google'!J15</f>
        <v>3</v>
      </c>
      <c r="K115" s="8">
        <f>'11_Clean_Google'!K15</f>
        <v>752.47</v>
      </c>
      <c r="L115">
        <f t="shared" si="5"/>
        <v>5.4115962777380101E-2</v>
      </c>
      <c r="M115" s="3">
        <f t="shared" si="6"/>
        <v>7.9365079365079361E-3</v>
      </c>
      <c r="N115" s="3">
        <f t="shared" si="7"/>
        <v>0.63814814814814813</v>
      </c>
      <c r="O115" s="3">
        <f t="shared" si="8"/>
        <v>80.406666666666666</v>
      </c>
      <c r="P115">
        <f t="shared" si="9"/>
        <v>3.1194345410828292</v>
      </c>
    </row>
    <row r="116" spans="1:16">
      <c r="A116" s="4">
        <f>'11_Clean_Google'!A16</f>
        <v>46037</v>
      </c>
      <c r="B116" s="4" t="str">
        <f>'11_Clean_Google'!B16</f>
        <v>Google</v>
      </c>
      <c r="C116" s="4" t="str">
        <f>'11_Clean_Google'!C16</f>
        <v>Search_Generic</v>
      </c>
      <c r="D116" s="4" t="str">
        <f>'11_Clean_Google'!D16</f>
        <v>Group_2</v>
      </c>
      <c r="E116" s="4" t="str">
        <f>'11_Clean_Google'!E16</f>
        <v>Headline_C</v>
      </c>
      <c r="F116" s="8">
        <f>'11_Clean_Google'!F16</f>
        <v>236.94</v>
      </c>
      <c r="G116" s="8">
        <f>'11_Clean_Google'!G16</f>
        <v>13112</v>
      </c>
      <c r="H116" s="8">
        <f>'11_Clean_Google'!H16</f>
        <v>426</v>
      </c>
      <c r="I116" s="8">
        <f>'11_Clean_Google'!I16</f>
        <v>0</v>
      </c>
      <c r="J116" s="8">
        <f>'11_Clean_Google'!J16</f>
        <v>32</v>
      </c>
      <c r="K116" s="8">
        <f>'11_Clean_Google'!K16</f>
        <v>162.25</v>
      </c>
      <c r="L116">
        <f t="shared" si="5"/>
        <v>3.2489322757779132E-2</v>
      </c>
      <c r="M116" s="3">
        <f t="shared" si="6"/>
        <v>7.5117370892018781E-2</v>
      </c>
      <c r="N116" s="3">
        <f t="shared" si="7"/>
        <v>0.55619718309859156</v>
      </c>
      <c r="O116" s="3">
        <f t="shared" si="8"/>
        <v>7.4043749999999999</v>
      </c>
      <c r="P116">
        <f t="shared" si="9"/>
        <v>0.68477251624883939</v>
      </c>
    </row>
    <row r="117" spans="1:16">
      <c r="A117" s="4">
        <f>'11_Clean_Google'!A17</f>
        <v>46038</v>
      </c>
      <c r="B117" s="4" t="str">
        <f>'11_Clean_Google'!B17</f>
        <v>Google</v>
      </c>
      <c r="C117" s="4" t="str">
        <f>'11_Clean_Google'!C17</f>
        <v>Search_Generic</v>
      </c>
      <c r="D117" s="4" t="str">
        <f>'11_Clean_Google'!D17</f>
        <v>Group_1</v>
      </c>
      <c r="E117" s="4" t="str">
        <f>'11_Clean_Google'!E17</f>
        <v>Headline_B</v>
      </c>
      <c r="F117" s="8">
        <f>'11_Clean_Google'!F17</f>
        <v>48.15</v>
      </c>
      <c r="G117" s="8">
        <f>'11_Clean_Google'!G17</f>
        <v>14150</v>
      </c>
      <c r="H117" s="8">
        <f>'11_Clean_Google'!H17</f>
        <v>751</v>
      </c>
      <c r="I117" s="8">
        <f>'11_Clean_Google'!I17</f>
        <v>0</v>
      </c>
      <c r="J117" s="8">
        <f>'11_Clean_Google'!J17</f>
        <v>35</v>
      </c>
      <c r="K117" s="8">
        <f>'11_Clean_Google'!K17</f>
        <v>186.07</v>
      </c>
      <c r="L117">
        <f t="shared" si="5"/>
        <v>5.3074204946996467E-2</v>
      </c>
      <c r="M117" s="3">
        <f t="shared" si="6"/>
        <v>4.6604527296937419E-2</v>
      </c>
      <c r="N117" s="3">
        <f t="shared" si="7"/>
        <v>6.4114513981358187E-2</v>
      </c>
      <c r="O117" s="3">
        <f t="shared" si="8"/>
        <v>1.3757142857142857</v>
      </c>
      <c r="P117">
        <f t="shared" si="9"/>
        <v>3.864382139148494</v>
      </c>
    </row>
    <row r="118" spans="1:16">
      <c r="A118" s="4">
        <f>'11_Clean_Google'!A18</f>
        <v>46039</v>
      </c>
      <c r="B118" s="4" t="str">
        <f>'11_Clean_Google'!B18</f>
        <v>Google</v>
      </c>
      <c r="C118" s="4" t="str">
        <f>'11_Clean_Google'!C18</f>
        <v>Search_Brand</v>
      </c>
      <c r="D118" s="4" t="str">
        <f>'11_Clean_Google'!D18</f>
        <v>Group_1</v>
      </c>
      <c r="E118" s="4" t="str">
        <f>'11_Clean_Google'!E18</f>
        <v>Headline_B</v>
      </c>
      <c r="F118" s="8">
        <f>'11_Clean_Google'!F18</f>
        <v>110.5</v>
      </c>
      <c r="G118" s="8">
        <f>'11_Clean_Google'!G18</f>
        <v>8770</v>
      </c>
      <c r="H118" s="8">
        <f>'11_Clean_Google'!H18</f>
        <v>190</v>
      </c>
      <c r="I118" s="8">
        <f>'11_Clean_Google'!I18</f>
        <v>0</v>
      </c>
      <c r="J118" s="8">
        <f>'11_Clean_Google'!J18</f>
        <v>38</v>
      </c>
      <c r="K118" s="8">
        <f>'11_Clean_Google'!K18</f>
        <v>1290.43</v>
      </c>
      <c r="L118">
        <f t="shared" si="5"/>
        <v>2.1664766248574687E-2</v>
      </c>
      <c r="M118" s="3">
        <f t="shared" si="6"/>
        <v>0.2</v>
      </c>
      <c r="N118" s="3">
        <f t="shared" si="7"/>
        <v>0.58157894736842108</v>
      </c>
      <c r="O118" s="3">
        <f t="shared" si="8"/>
        <v>2.9078947368421053</v>
      </c>
      <c r="P118">
        <f t="shared" si="9"/>
        <v>11.678099547511312</v>
      </c>
    </row>
    <row r="119" spans="1:16">
      <c r="A119" s="4">
        <f>'11_Clean_Google'!A19</f>
        <v>46040</v>
      </c>
      <c r="B119" s="4" t="str">
        <f>'11_Clean_Google'!B19</f>
        <v>Google</v>
      </c>
      <c r="C119" s="4" t="str">
        <f>'11_Clean_Google'!C19</f>
        <v>Search_Generic</v>
      </c>
      <c r="D119" s="4" t="str">
        <f>'11_Clean_Google'!D19</f>
        <v>Group_1</v>
      </c>
      <c r="E119" s="4" t="str">
        <f>'11_Clean_Google'!E19</f>
        <v>Headline_C</v>
      </c>
      <c r="F119" s="8">
        <f>'11_Clean_Google'!F19</f>
        <v>91.14</v>
      </c>
      <c r="G119" s="8">
        <f>'11_Clean_Google'!G19</f>
        <v>13218</v>
      </c>
      <c r="H119" s="8">
        <f>'11_Clean_Google'!H19</f>
        <v>45</v>
      </c>
      <c r="I119" s="8">
        <f>'11_Clean_Google'!I19</f>
        <v>0</v>
      </c>
      <c r="J119" s="8">
        <f>'11_Clean_Google'!J19</f>
        <v>13</v>
      </c>
      <c r="K119" s="8">
        <f>'11_Clean_Google'!K19</f>
        <v>1486.01</v>
      </c>
      <c r="L119">
        <f t="shared" si="5"/>
        <v>3.4044484793463461E-3</v>
      </c>
      <c r="M119" s="3">
        <f t="shared" si="6"/>
        <v>0.28888888888888886</v>
      </c>
      <c r="N119" s="3">
        <f t="shared" si="7"/>
        <v>2.0253333333333332</v>
      </c>
      <c r="O119" s="3">
        <f t="shared" si="8"/>
        <v>7.0107692307692311</v>
      </c>
      <c r="P119">
        <f t="shared" si="9"/>
        <v>16.304696071977176</v>
      </c>
    </row>
    <row r="120" spans="1:16">
      <c r="A120" s="4">
        <f>'11_Clean_Google'!A20</f>
        <v>46041</v>
      </c>
      <c r="B120" s="4" t="str">
        <f>'11_Clean_Google'!B20</f>
        <v>Google</v>
      </c>
      <c r="C120" s="4" t="str">
        <f>'11_Clean_Google'!C20</f>
        <v>PMax</v>
      </c>
      <c r="D120" s="4" t="str">
        <f>'11_Clean_Google'!D20</f>
        <v>Group_1</v>
      </c>
      <c r="E120" s="4" t="str">
        <f>'11_Clean_Google'!E20</f>
        <v>Headline_B</v>
      </c>
      <c r="F120" s="8">
        <f>'11_Clean_Google'!F20</f>
        <v>35.43</v>
      </c>
      <c r="G120" s="8">
        <f>'11_Clean_Google'!G20</f>
        <v>12561</v>
      </c>
      <c r="H120" s="8">
        <f>'11_Clean_Google'!H20</f>
        <v>522</v>
      </c>
      <c r="I120" s="8">
        <f>'11_Clean_Google'!I20</f>
        <v>0</v>
      </c>
      <c r="J120" s="8">
        <f>'11_Clean_Google'!J20</f>
        <v>25</v>
      </c>
      <c r="K120" s="8">
        <f>'11_Clean_Google'!K20</f>
        <v>1039.99</v>
      </c>
      <c r="L120">
        <f t="shared" si="5"/>
        <v>4.1557200859804154E-2</v>
      </c>
      <c r="M120" s="3">
        <f t="shared" si="6"/>
        <v>4.7892720306513412E-2</v>
      </c>
      <c r="N120" s="3">
        <f t="shared" si="7"/>
        <v>6.7873563218390803E-2</v>
      </c>
      <c r="O120" s="3">
        <f t="shared" si="8"/>
        <v>1.4172</v>
      </c>
      <c r="P120">
        <f t="shared" si="9"/>
        <v>29.353372847869039</v>
      </c>
    </row>
    <row r="121" spans="1:16">
      <c r="A121" s="4">
        <f>'11_Clean_Google'!A21</f>
        <v>46042</v>
      </c>
      <c r="B121" s="4" t="str">
        <f>'11_Clean_Google'!B21</f>
        <v>Google</v>
      </c>
      <c r="C121" s="4" t="str">
        <f>'11_Clean_Google'!C21</f>
        <v>PMax</v>
      </c>
      <c r="D121" s="4" t="str">
        <f>'11_Clean_Google'!D21</f>
        <v>Group_3</v>
      </c>
      <c r="E121" s="4" t="str">
        <f>'11_Clean_Google'!E21</f>
        <v>Headline_C</v>
      </c>
      <c r="F121" s="8">
        <f>'11_Clean_Google'!F21</f>
        <v>163.81</v>
      </c>
      <c r="G121" s="8">
        <f>'11_Clean_Google'!G21</f>
        <v>2052</v>
      </c>
      <c r="H121" s="8">
        <f>'11_Clean_Google'!H21</f>
        <v>455</v>
      </c>
      <c r="I121" s="8">
        <f>'11_Clean_Google'!I21</f>
        <v>0</v>
      </c>
      <c r="J121" s="8">
        <f>'11_Clean_Google'!J21</f>
        <v>9</v>
      </c>
      <c r="K121" s="8">
        <f>'11_Clean_Google'!K21</f>
        <v>713.26</v>
      </c>
      <c r="L121">
        <f t="shared" si="5"/>
        <v>0.22173489278752437</v>
      </c>
      <c r="M121" s="3">
        <f t="shared" si="6"/>
        <v>1.9780219780219779E-2</v>
      </c>
      <c r="N121" s="3">
        <f t="shared" si="7"/>
        <v>0.36002197802197805</v>
      </c>
      <c r="O121" s="3">
        <f t="shared" si="8"/>
        <v>18.201111111111111</v>
      </c>
      <c r="P121">
        <f t="shared" si="9"/>
        <v>4.3541908308406079</v>
      </c>
    </row>
    <row r="122" spans="1:16">
      <c r="A122" s="4">
        <f>'11_Clean_Google'!A22</f>
        <v>46043</v>
      </c>
      <c r="B122" s="4" t="str">
        <f>'11_Clean_Google'!B22</f>
        <v>Google</v>
      </c>
      <c r="C122" s="4" t="str">
        <f>'11_Clean_Google'!C22</f>
        <v>Search_Brand</v>
      </c>
      <c r="D122" s="4" t="str">
        <f>'11_Clean_Google'!D22</f>
        <v>Group_3</v>
      </c>
      <c r="E122" s="4" t="str">
        <f>'11_Clean_Google'!E22</f>
        <v>Headline_B</v>
      </c>
      <c r="F122" s="8">
        <f>'11_Clean_Google'!F22</f>
        <v>187.94</v>
      </c>
      <c r="G122" s="8">
        <f>'11_Clean_Google'!G22</f>
        <v>5003</v>
      </c>
      <c r="H122" s="8">
        <f>'11_Clean_Google'!H22</f>
        <v>137</v>
      </c>
      <c r="I122" s="8">
        <f>'11_Clean_Google'!I22</f>
        <v>0</v>
      </c>
      <c r="J122" s="8">
        <f>'11_Clean_Google'!J22</f>
        <v>4</v>
      </c>
      <c r="K122" s="8">
        <f>'11_Clean_Google'!K22</f>
        <v>999.55</v>
      </c>
      <c r="L122">
        <f t="shared" si="5"/>
        <v>2.7383569858085148E-2</v>
      </c>
      <c r="M122" s="3">
        <f t="shared" si="6"/>
        <v>2.9197080291970802E-2</v>
      </c>
      <c r="N122" s="3">
        <f t="shared" si="7"/>
        <v>1.3718248175182481</v>
      </c>
      <c r="O122" s="3">
        <f t="shared" si="8"/>
        <v>46.984999999999999</v>
      </c>
      <c r="P122">
        <f t="shared" si="9"/>
        <v>5.3184526976694686</v>
      </c>
    </row>
    <row r="123" spans="1:16">
      <c r="A123" s="4">
        <f>'11_Clean_Google'!A23</f>
        <v>46044</v>
      </c>
      <c r="B123" s="4" t="str">
        <f>'11_Clean_Google'!B23</f>
        <v>Google</v>
      </c>
      <c r="C123" s="4" t="str">
        <f>'11_Clean_Google'!C23</f>
        <v>PMax</v>
      </c>
      <c r="D123" s="4" t="str">
        <f>'11_Clean_Google'!D23</f>
        <v>Group_1</v>
      </c>
      <c r="E123" s="4" t="str">
        <f>'11_Clean_Google'!E23</f>
        <v>Headline_C</v>
      </c>
      <c r="F123" s="8">
        <f>'11_Clean_Google'!F23</f>
        <v>214.31</v>
      </c>
      <c r="G123" s="8">
        <f>'11_Clean_Google'!G23</f>
        <v>9163</v>
      </c>
      <c r="H123" s="8">
        <f>'11_Clean_Google'!H23</f>
        <v>479</v>
      </c>
      <c r="I123" s="8">
        <f>'11_Clean_Google'!I23</f>
        <v>0</v>
      </c>
      <c r="J123" s="8">
        <f>'11_Clean_Google'!J23</f>
        <v>14</v>
      </c>
      <c r="K123" s="8">
        <f>'11_Clean_Google'!K23</f>
        <v>924.04</v>
      </c>
      <c r="L123">
        <f t="shared" si="5"/>
        <v>5.2275455636800174E-2</v>
      </c>
      <c r="M123" s="3">
        <f t="shared" si="6"/>
        <v>2.9227557411273485E-2</v>
      </c>
      <c r="N123" s="3">
        <f t="shared" si="7"/>
        <v>0.44741127348643006</v>
      </c>
      <c r="O123" s="3">
        <f t="shared" si="8"/>
        <v>15.307857142857143</v>
      </c>
      <c r="P123">
        <f t="shared" si="9"/>
        <v>4.3116980075591433</v>
      </c>
    </row>
    <row r="124" spans="1:16">
      <c r="A124" s="4">
        <f>'11_Clean_Google'!A24</f>
        <v>46045</v>
      </c>
      <c r="B124" s="4" t="str">
        <f>'11_Clean_Google'!B24</f>
        <v>Google</v>
      </c>
      <c r="C124" s="4" t="str">
        <f>'11_Clean_Google'!C24</f>
        <v>PMax</v>
      </c>
      <c r="D124" s="4" t="str">
        <f>'11_Clean_Google'!D24</f>
        <v>Group_2</v>
      </c>
      <c r="E124" s="4" t="str">
        <f>'11_Clean_Google'!E24</f>
        <v>Headline_A</v>
      </c>
      <c r="F124" s="8">
        <f>'11_Clean_Google'!F24</f>
        <v>43.85</v>
      </c>
      <c r="G124" s="8">
        <f>'11_Clean_Google'!G24</f>
        <v>10450</v>
      </c>
      <c r="H124" s="8">
        <f>'11_Clean_Google'!H24</f>
        <v>340</v>
      </c>
      <c r="I124" s="8">
        <f>'11_Clean_Google'!I24</f>
        <v>0</v>
      </c>
      <c r="J124" s="8">
        <f>'11_Clean_Google'!J24</f>
        <v>37</v>
      </c>
      <c r="K124" s="8">
        <f>'11_Clean_Google'!K24</f>
        <v>624.73</v>
      </c>
      <c r="L124">
        <f t="shared" si="5"/>
        <v>3.2535885167464113E-2</v>
      </c>
      <c r="M124" s="3">
        <f t="shared" si="6"/>
        <v>0.10882352941176471</v>
      </c>
      <c r="N124" s="3">
        <f t="shared" si="7"/>
        <v>0.12897058823529411</v>
      </c>
      <c r="O124" s="3">
        <f t="shared" si="8"/>
        <v>1.1851351351351351</v>
      </c>
      <c r="P124">
        <f t="shared" si="9"/>
        <v>14.246978335233752</v>
      </c>
    </row>
    <row r="125" spans="1:16">
      <c r="A125" s="4">
        <f>'11_Clean_Google'!A25</f>
        <v>46046</v>
      </c>
      <c r="B125" s="4" t="str">
        <f>'11_Clean_Google'!B25</f>
        <v>Google</v>
      </c>
      <c r="C125" s="4" t="str">
        <f>'11_Clean_Google'!C25</f>
        <v>Search_Brand</v>
      </c>
      <c r="D125" s="4" t="str">
        <f>'11_Clean_Google'!D25</f>
        <v>Group_2</v>
      </c>
      <c r="E125" s="4" t="str">
        <f>'11_Clean_Google'!E25</f>
        <v>Headline_C</v>
      </c>
      <c r="F125" s="8">
        <f>'11_Clean_Google'!F25</f>
        <v>220.96</v>
      </c>
      <c r="G125" s="8">
        <f>'11_Clean_Google'!G25</f>
        <v>4349</v>
      </c>
      <c r="H125" s="8">
        <f>'11_Clean_Google'!H25</f>
        <v>768</v>
      </c>
      <c r="I125" s="8">
        <f>'11_Clean_Google'!I25</f>
        <v>0</v>
      </c>
      <c r="J125" s="8">
        <f>'11_Clean_Google'!J25</f>
        <v>34</v>
      </c>
      <c r="K125" s="8">
        <f>'11_Clean_Google'!K25</f>
        <v>173.19</v>
      </c>
      <c r="L125">
        <f t="shared" si="5"/>
        <v>0.17659232007358014</v>
      </c>
      <c r="M125" s="3">
        <f t="shared" si="6"/>
        <v>4.4270833333333336E-2</v>
      </c>
      <c r="N125" s="3">
        <f t="shared" si="7"/>
        <v>0.28770833333333334</v>
      </c>
      <c r="O125" s="3">
        <f t="shared" si="8"/>
        <v>6.4988235294117649</v>
      </c>
      <c r="P125">
        <f t="shared" si="9"/>
        <v>0.78380702389572765</v>
      </c>
    </row>
    <row r="126" spans="1:16">
      <c r="A126" s="4">
        <f>'11_Clean_Google'!A26</f>
        <v>46047</v>
      </c>
      <c r="B126" s="4" t="str">
        <f>'11_Clean_Google'!B26</f>
        <v>Google</v>
      </c>
      <c r="C126" s="4" t="str">
        <f>'11_Clean_Google'!C26</f>
        <v>Search_Generic</v>
      </c>
      <c r="D126" s="4" t="str">
        <f>'11_Clean_Google'!D26</f>
        <v>Group_2</v>
      </c>
      <c r="E126" s="4" t="str">
        <f>'11_Clean_Google'!E26</f>
        <v>Headline_C</v>
      </c>
      <c r="F126" s="8">
        <f>'11_Clean_Google'!F26</f>
        <v>166.09</v>
      </c>
      <c r="G126" s="8">
        <f>'11_Clean_Google'!G26</f>
        <v>4997</v>
      </c>
      <c r="H126" s="8">
        <f>'11_Clean_Google'!H26</f>
        <v>199</v>
      </c>
      <c r="I126" s="8">
        <f>'11_Clean_Google'!I26</f>
        <v>0</v>
      </c>
      <c r="J126" s="8">
        <f>'11_Clean_Google'!J26</f>
        <v>11</v>
      </c>
      <c r="K126" s="8">
        <f>'11_Clean_Google'!K26</f>
        <v>1246.55</v>
      </c>
      <c r="L126">
        <f t="shared" si="5"/>
        <v>3.982389433660196E-2</v>
      </c>
      <c r="M126" s="3">
        <f t="shared" si="6"/>
        <v>5.5276381909547742E-2</v>
      </c>
      <c r="N126" s="3">
        <f t="shared" si="7"/>
        <v>0.83462311557788949</v>
      </c>
      <c r="O126" s="3">
        <f t="shared" si="8"/>
        <v>15.09909090909091</v>
      </c>
      <c r="P126">
        <f t="shared" si="9"/>
        <v>7.5052682280691183</v>
      </c>
    </row>
    <row r="127" spans="1:16">
      <c r="A127" s="4">
        <f>'11_Clean_Google'!A27</f>
        <v>46048</v>
      </c>
      <c r="B127" s="4" t="str">
        <f>'11_Clean_Google'!B27</f>
        <v>Google</v>
      </c>
      <c r="C127" s="4" t="str">
        <f>'11_Clean_Google'!C27</f>
        <v>Search_Generic</v>
      </c>
      <c r="D127" s="4" t="str">
        <f>'11_Clean_Google'!D27</f>
        <v>Group_2</v>
      </c>
      <c r="E127" s="4" t="str">
        <f>'11_Clean_Google'!E27</f>
        <v>Headline_C</v>
      </c>
      <c r="F127" s="8">
        <f>'11_Clean_Google'!F27</f>
        <v>180.43</v>
      </c>
      <c r="G127" s="8">
        <f>'11_Clean_Google'!G27</f>
        <v>7809</v>
      </c>
      <c r="H127" s="8">
        <f>'11_Clean_Google'!H27</f>
        <v>575</v>
      </c>
      <c r="I127" s="8">
        <f>'11_Clean_Google'!I27</f>
        <v>0</v>
      </c>
      <c r="J127" s="8">
        <f>'11_Clean_Google'!J27</f>
        <v>3</v>
      </c>
      <c r="K127" s="8">
        <f>'11_Clean_Google'!K27</f>
        <v>608</v>
      </c>
      <c r="L127">
        <f t="shared" si="5"/>
        <v>7.3632987578435144E-2</v>
      </c>
      <c r="M127" s="3">
        <f t="shared" si="6"/>
        <v>5.2173913043478265E-3</v>
      </c>
      <c r="N127" s="3">
        <f t="shared" si="7"/>
        <v>0.31379130434782609</v>
      </c>
      <c r="O127" s="3">
        <f t="shared" si="8"/>
        <v>60.143333333333338</v>
      </c>
      <c r="P127">
        <f t="shared" si="9"/>
        <v>3.3697278723050488</v>
      </c>
    </row>
    <row r="128" spans="1:16">
      <c r="A128" s="4">
        <f>'11_Clean_Google'!A28</f>
        <v>46049</v>
      </c>
      <c r="B128" s="4" t="str">
        <f>'11_Clean_Google'!B28</f>
        <v>Google</v>
      </c>
      <c r="C128" s="4" t="str">
        <f>'11_Clean_Google'!C28</f>
        <v>Search_Generic</v>
      </c>
      <c r="D128" s="4" t="str">
        <f>'11_Clean_Google'!D28</f>
        <v>Group_1</v>
      </c>
      <c r="E128" s="4" t="str">
        <f>'11_Clean_Google'!E28</f>
        <v>Headline_C</v>
      </c>
      <c r="F128" s="8">
        <f>'11_Clean_Google'!F28</f>
        <v>229</v>
      </c>
      <c r="G128" s="8">
        <f>'11_Clean_Google'!G28</f>
        <v>7467</v>
      </c>
      <c r="H128" s="8">
        <f>'11_Clean_Google'!H28</f>
        <v>443</v>
      </c>
      <c r="I128" s="8">
        <f>'11_Clean_Google'!I28</f>
        <v>0</v>
      </c>
      <c r="J128" s="8">
        <f>'11_Clean_Google'!J28</f>
        <v>28</v>
      </c>
      <c r="K128" s="8">
        <f>'11_Clean_Google'!K28</f>
        <v>1242.68</v>
      </c>
      <c r="L128">
        <f t="shared" si="5"/>
        <v>5.9327708584438192E-2</v>
      </c>
      <c r="M128" s="3">
        <f t="shared" si="6"/>
        <v>6.320541760722348E-2</v>
      </c>
      <c r="N128" s="3">
        <f t="shared" si="7"/>
        <v>0.5169300225733634</v>
      </c>
      <c r="O128" s="3">
        <f t="shared" si="8"/>
        <v>8.1785714285714288</v>
      </c>
      <c r="P128">
        <f t="shared" si="9"/>
        <v>5.426550218340612</v>
      </c>
    </row>
    <row r="129" spans="1:16">
      <c r="A129" s="4">
        <f>'11_Clean_Google'!A29</f>
        <v>46050</v>
      </c>
      <c r="B129" s="4" t="str">
        <f>'11_Clean_Google'!B29</f>
        <v>Google</v>
      </c>
      <c r="C129" s="4" t="str">
        <f>'11_Clean_Google'!C29</f>
        <v>Search_Brand</v>
      </c>
      <c r="D129" s="4" t="str">
        <f>'11_Clean_Google'!D29</f>
        <v>Group_3</v>
      </c>
      <c r="E129" s="4" t="str">
        <f>'11_Clean_Google'!E29</f>
        <v>Headline_B</v>
      </c>
      <c r="F129" s="8">
        <f>'11_Clean_Google'!F29</f>
        <v>161.82</v>
      </c>
      <c r="G129" s="8">
        <f>'11_Clean_Google'!G29</f>
        <v>3122</v>
      </c>
      <c r="H129" s="8">
        <f>'11_Clean_Google'!H29</f>
        <v>280</v>
      </c>
      <c r="I129" s="8">
        <f>'11_Clean_Google'!I29</f>
        <v>0</v>
      </c>
      <c r="J129" s="8">
        <f>'11_Clean_Google'!J29</f>
        <v>29</v>
      </c>
      <c r="K129" s="8">
        <f>'11_Clean_Google'!K29</f>
        <v>438.56</v>
      </c>
      <c r="L129">
        <f t="shared" si="5"/>
        <v>8.9686098654708515E-2</v>
      </c>
      <c r="M129" s="3">
        <f t="shared" si="6"/>
        <v>0.10357142857142858</v>
      </c>
      <c r="N129" s="3">
        <f t="shared" si="7"/>
        <v>0.57792857142857146</v>
      </c>
      <c r="O129" s="3">
        <f t="shared" si="8"/>
        <v>5.58</v>
      </c>
      <c r="P129">
        <f t="shared" si="9"/>
        <v>2.7101717958225189</v>
      </c>
    </row>
    <row r="130" spans="1:16">
      <c r="A130" s="4">
        <f>'11_Clean_Google'!A30</f>
        <v>46051</v>
      </c>
      <c r="B130" s="4" t="str">
        <f>'11_Clean_Google'!B30</f>
        <v>Google</v>
      </c>
      <c r="C130" s="4" t="str">
        <f>'11_Clean_Google'!C30</f>
        <v>PMax</v>
      </c>
      <c r="D130" s="4" t="str">
        <f>'11_Clean_Google'!D30</f>
        <v>Group_2</v>
      </c>
      <c r="E130" s="4" t="str">
        <f>'11_Clean_Google'!E30</f>
        <v>Headline_A</v>
      </c>
      <c r="F130" s="8">
        <f>'11_Clean_Google'!F30</f>
        <v>93.93</v>
      </c>
      <c r="G130" s="8">
        <f>'11_Clean_Google'!G30</f>
        <v>10628</v>
      </c>
      <c r="H130" s="8">
        <f>'11_Clean_Google'!H30</f>
        <v>788</v>
      </c>
      <c r="I130" s="8">
        <f>'11_Clean_Google'!I30</f>
        <v>0</v>
      </c>
      <c r="J130" s="8">
        <f>'11_Clean_Google'!J30</f>
        <v>9</v>
      </c>
      <c r="K130" s="8">
        <f>'11_Clean_Google'!K30</f>
        <v>81.459999999999994</v>
      </c>
      <c r="L130">
        <f t="shared" si="5"/>
        <v>7.4143771170493034E-2</v>
      </c>
      <c r="M130" s="3">
        <f t="shared" si="6"/>
        <v>1.1421319796954314E-2</v>
      </c>
      <c r="N130" s="3">
        <f t="shared" si="7"/>
        <v>0.11920050761421321</v>
      </c>
      <c r="O130" s="3">
        <f t="shared" si="8"/>
        <v>10.436666666666667</v>
      </c>
      <c r="P130">
        <f t="shared" si="9"/>
        <v>0.86724156286596388</v>
      </c>
    </row>
    <row r="131" spans="1:16">
      <c r="A131" s="4">
        <f>'11_Clean_Google'!A31</f>
        <v>46052</v>
      </c>
      <c r="B131" s="4" t="str">
        <f>'11_Clean_Google'!B31</f>
        <v>Google</v>
      </c>
      <c r="C131" s="4" t="str">
        <f>'11_Clean_Google'!C31</f>
        <v>Search_Generic</v>
      </c>
      <c r="D131" s="4" t="str">
        <f>'11_Clean_Google'!D31</f>
        <v>Group_1</v>
      </c>
      <c r="E131" s="4" t="str">
        <f>'11_Clean_Google'!E31</f>
        <v>Headline_C</v>
      </c>
      <c r="F131" s="8">
        <f>'11_Clean_Google'!F31</f>
        <v>208.9</v>
      </c>
      <c r="G131" s="8">
        <f>'11_Clean_Google'!G31</f>
        <v>12107</v>
      </c>
      <c r="H131" s="8">
        <f>'11_Clean_Google'!H31</f>
        <v>810</v>
      </c>
      <c r="I131" s="8">
        <f>'11_Clean_Google'!I31</f>
        <v>0</v>
      </c>
      <c r="J131" s="8">
        <f>'11_Clean_Google'!J31</f>
        <v>3</v>
      </c>
      <c r="K131" s="8">
        <f>'11_Clean_Google'!K31</f>
        <v>305.69</v>
      </c>
      <c r="L131">
        <f t="shared" ref="L131:L194" si="10">H131/G131</f>
        <v>6.6903444288428177E-2</v>
      </c>
      <c r="M131" s="3">
        <f t="shared" ref="M131:M194" si="11">J131/H131</f>
        <v>3.7037037037037038E-3</v>
      </c>
      <c r="N131" s="3">
        <f t="shared" ref="N131:N194" si="12">F131/H131</f>
        <v>0.25790123456790126</v>
      </c>
      <c r="O131" s="3">
        <f t="shared" ref="O131:O194" si="13">F131/J131</f>
        <v>69.63333333333334</v>
      </c>
      <c r="P131">
        <f t="shared" ref="P131:P194" si="14">K131/F131</f>
        <v>1.463331737673528</v>
      </c>
    </row>
    <row r="132" spans="1:16">
      <c r="A132" s="4">
        <f>'11_Clean_Google'!A32</f>
        <v>46023</v>
      </c>
      <c r="B132" s="4" t="str">
        <f>'11_Clean_Google'!B32</f>
        <v>Google</v>
      </c>
      <c r="C132" s="4" t="str">
        <f>'11_Clean_Google'!C32</f>
        <v>Search_Generic</v>
      </c>
      <c r="D132" s="4" t="str">
        <f>'11_Clean_Google'!D32</f>
        <v>Group_2</v>
      </c>
      <c r="E132" s="4" t="str">
        <f>'11_Clean_Google'!E32</f>
        <v>Headline_B</v>
      </c>
      <c r="F132" s="8">
        <f>'11_Clean_Google'!F32</f>
        <v>100.32</v>
      </c>
      <c r="G132" s="8">
        <f>'11_Clean_Google'!G32</f>
        <v>4890</v>
      </c>
      <c r="H132" s="8">
        <f>'11_Clean_Google'!H32</f>
        <v>170</v>
      </c>
      <c r="I132" s="8">
        <f>'11_Clean_Google'!I32</f>
        <v>0</v>
      </c>
      <c r="J132" s="8">
        <f>'11_Clean_Google'!J32</f>
        <v>25</v>
      </c>
      <c r="K132" s="8">
        <f>'11_Clean_Google'!K32</f>
        <v>745.33</v>
      </c>
      <c r="L132">
        <f t="shared" si="10"/>
        <v>3.4764826175869123E-2</v>
      </c>
      <c r="M132" s="3">
        <f t="shared" si="11"/>
        <v>0.14705882352941177</v>
      </c>
      <c r="N132" s="3">
        <f t="shared" si="12"/>
        <v>0.59011764705882352</v>
      </c>
      <c r="O132" s="3">
        <f t="shared" si="13"/>
        <v>4.0127999999999995</v>
      </c>
      <c r="P132">
        <f t="shared" si="14"/>
        <v>7.4295255183413085</v>
      </c>
    </row>
    <row r="133" spans="1:16">
      <c r="A133" s="4">
        <f>'11_Clean_Google'!A33</f>
        <v>46024</v>
      </c>
      <c r="B133" s="4" t="str">
        <f>'11_Clean_Google'!B33</f>
        <v>Google</v>
      </c>
      <c r="C133" s="4" t="str">
        <f>'11_Clean_Google'!C33</f>
        <v>Search_Brand</v>
      </c>
      <c r="D133" s="4" t="str">
        <f>'11_Clean_Google'!D33</f>
        <v>Group_2</v>
      </c>
      <c r="E133" s="4" t="str">
        <f>'11_Clean_Google'!E33</f>
        <v>Headline_A</v>
      </c>
      <c r="F133" s="8">
        <f>'11_Clean_Google'!F33</f>
        <v>23.04</v>
      </c>
      <c r="G133" s="8">
        <f>'11_Clean_Google'!G33</f>
        <v>7760</v>
      </c>
      <c r="H133" s="8">
        <f>'11_Clean_Google'!H33</f>
        <v>303</v>
      </c>
      <c r="I133" s="8">
        <f>'11_Clean_Google'!I33</f>
        <v>0</v>
      </c>
      <c r="J133" s="8">
        <f>'11_Clean_Google'!J33</f>
        <v>34</v>
      </c>
      <c r="K133" s="8">
        <f>'11_Clean_Google'!K33</f>
        <v>1420.91</v>
      </c>
      <c r="L133">
        <f t="shared" si="10"/>
        <v>3.904639175257732E-2</v>
      </c>
      <c r="M133" s="3">
        <f t="shared" si="11"/>
        <v>0.11221122112211221</v>
      </c>
      <c r="N133" s="3">
        <f t="shared" si="12"/>
        <v>7.6039603960396038E-2</v>
      </c>
      <c r="O133" s="3">
        <f t="shared" si="13"/>
        <v>0.67764705882352938</v>
      </c>
      <c r="P133">
        <f t="shared" si="14"/>
        <v>61.671440972222229</v>
      </c>
    </row>
    <row r="134" spans="1:16">
      <c r="A134" s="4">
        <f>'11_Clean_Google'!A34</f>
        <v>46025</v>
      </c>
      <c r="B134" s="4" t="str">
        <f>'11_Clean_Google'!B34</f>
        <v>Google</v>
      </c>
      <c r="C134" s="4" t="str">
        <f>'11_Clean_Google'!C34</f>
        <v>Search_Generic</v>
      </c>
      <c r="D134" s="4" t="str">
        <f>'11_Clean_Google'!D34</f>
        <v>Group_1</v>
      </c>
      <c r="E134" s="4" t="str">
        <f>'11_Clean_Google'!E34</f>
        <v>Headline_A</v>
      </c>
      <c r="F134" s="8">
        <f>'11_Clean_Google'!F34</f>
        <v>210.2</v>
      </c>
      <c r="G134" s="8">
        <f>'11_Clean_Google'!G34</f>
        <v>3804</v>
      </c>
      <c r="H134" s="8">
        <f>'11_Clean_Google'!H34</f>
        <v>445</v>
      </c>
      <c r="I134" s="8">
        <f>'11_Clean_Google'!I34</f>
        <v>0</v>
      </c>
      <c r="J134" s="8">
        <f>'11_Clean_Google'!J34</f>
        <v>12</v>
      </c>
      <c r="K134" s="8">
        <f>'11_Clean_Google'!K34</f>
        <v>225.11</v>
      </c>
      <c r="L134">
        <f t="shared" si="10"/>
        <v>0.11698212407991587</v>
      </c>
      <c r="M134" s="3">
        <f t="shared" si="11"/>
        <v>2.6966292134831461E-2</v>
      </c>
      <c r="N134" s="3">
        <f t="shared" si="12"/>
        <v>0.47235955056179774</v>
      </c>
      <c r="O134" s="3">
        <f t="shared" si="13"/>
        <v>17.516666666666666</v>
      </c>
      <c r="P134">
        <f t="shared" si="14"/>
        <v>1.0709324452902</v>
      </c>
    </row>
    <row r="135" spans="1:16">
      <c r="A135" s="4">
        <f>'11_Clean_Google'!A35</f>
        <v>46026</v>
      </c>
      <c r="B135" s="4" t="str">
        <f>'11_Clean_Google'!B35</f>
        <v>Google</v>
      </c>
      <c r="C135" s="4" t="str">
        <f>'11_Clean_Google'!C35</f>
        <v>Search_Brand</v>
      </c>
      <c r="D135" s="4" t="str">
        <f>'11_Clean_Google'!D35</f>
        <v>Group_3</v>
      </c>
      <c r="E135" s="4" t="str">
        <f>'11_Clean_Google'!E35</f>
        <v>Headline_A</v>
      </c>
      <c r="F135" s="8">
        <f>'11_Clean_Google'!F35</f>
        <v>96.12</v>
      </c>
      <c r="G135" s="8">
        <f>'11_Clean_Google'!G35</f>
        <v>5936</v>
      </c>
      <c r="H135" s="8">
        <f>'11_Clean_Google'!H35</f>
        <v>637</v>
      </c>
      <c r="I135" s="8">
        <f>'11_Clean_Google'!I35</f>
        <v>0</v>
      </c>
      <c r="J135" s="8">
        <f>'11_Clean_Google'!J35</f>
        <v>9</v>
      </c>
      <c r="K135" s="8">
        <f>'11_Clean_Google'!K35</f>
        <v>1292.98</v>
      </c>
      <c r="L135">
        <f t="shared" si="10"/>
        <v>0.10731132075471699</v>
      </c>
      <c r="M135" s="3">
        <f t="shared" si="11"/>
        <v>1.4128728414442701E-2</v>
      </c>
      <c r="N135" s="3">
        <f t="shared" si="12"/>
        <v>0.15089481946624805</v>
      </c>
      <c r="O135" s="3">
        <f t="shared" si="13"/>
        <v>10.68</v>
      </c>
      <c r="P135">
        <f t="shared" si="14"/>
        <v>13.451727007906783</v>
      </c>
    </row>
    <row r="136" spans="1:16">
      <c r="A136" s="4">
        <f>'11_Clean_Google'!A36</f>
        <v>46027</v>
      </c>
      <c r="B136" s="4" t="str">
        <f>'11_Clean_Google'!B36</f>
        <v>Google</v>
      </c>
      <c r="C136" s="4" t="str">
        <f>'11_Clean_Google'!C36</f>
        <v>PMax</v>
      </c>
      <c r="D136" s="4" t="str">
        <f>'11_Clean_Google'!D36</f>
        <v>Group_3</v>
      </c>
      <c r="E136" s="4" t="str">
        <f>'11_Clean_Google'!E36</f>
        <v>Headline_A</v>
      </c>
      <c r="F136" s="8">
        <f>'11_Clean_Google'!F36</f>
        <v>196.85</v>
      </c>
      <c r="G136" s="8">
        <f>'11_Clean_Google'!G36</f>
        <v>1129</v>
      </c>
      <c r="H136" s="8">
        <f>'11_Clean_Google'!H36</f>
        <v>768</v>
      </c>
      <c r="I136" s="8">
        <f>'11_Clean_Google'!I36</f>
        <v>0</v>
      </c>
      <c r="J136" s="8">
        <f>'11_Clean_Google'!J36</f>
        <v>15</v>
      </c>
      <c r="K136" s="8">
        <f>'11_Clean_Google'!K36</f>
        <v>828.37</v>
      </c>
      <c r="L136">
        <f t="shared" si="10"/>
        <v>0.68024800708591671</v>
      </c>
      <c r="M136" s="3">
        <f t="shared" si="11"/>
        <v>1.953125E-2</v>
      </c>
      <c r="N136" s="3">
        <f t="shared" si="12"/>
        <v>0.25631510416666664</v>
      </c>
      <c r="O136" s="3">
        <f t="shared" si="13"/>
        <v>13.123333333333333</v>
      </c>
      <c r="P136">
        <f t="shared" si="14"/>
        <v>4.2081280162560324</v>
      </c>
    </row>
    <row r="137" spans="1:16">
      <c r="A137" s="4">
        <f>'11_Clean_Google'!A37</f>
        <v>46028</v>
      </c>
      <c r="B137" s="4" t="str">
        <f>'11_Clean_Google'!B37</f>
        <v>Google</v>
      </c>
      <c r="C137" s="4" t="str">
        <f>'11_Clean_Google'!C37</f>
        <v>Search_Brand</v>
      </c>
      <c r="D137" s="4" t="str">
        <f>'11_Clean_Google'!D37</f>
        <v>Group_1</v>
      </c>
      <c r="E137" s="4" t="str">
        <f>'11_Clean_Google'!E37</f>
        <v>Headline_C</v>
      </c>
      <c r="F137" s="8">
        <f>'11_Clean_Google'!F37</f>
        <v>100.25</v>
      </c>
      <c r="G137" s="8">
        <f>'11_Clean_Google'!G37</f>
        <v>4440</v>
      </c>
      <c r="H137" s="8">
        <f>'11_Clean_Google'!H37</f>
        <v>68</v>
      </c>
      <c r="I137" s="8">
        <f>'11_Clean_Google'!I37</f>
        <v>0</v>
      </c>
      <c r="J137" s="8">
        <f>'11_Clean_Google'!J37</f>
        <v>25</v>
      </c>
      <c r="K137" s="8">
        <f>'11_Clean_Google'!K37</f>
        <v>1252.81</v>
      </c>
      <c r="L137">
        <f t="shared" si="10"/>
        <v>1.5315315315315315E-2</v>
      </c>
      <c r="M137" s="3">
        <f t="shared" si="11"/>
        <v>0.36764705882352944</v>
      </c>
      <c r="N137" s="3">
        <f t="shared" si="12"/>
        <v>1.474264705882353</v>
      </c>
      <c r="O137" s="3">
        <f t="shared" si="13"/>
        <v>4.01</v>
      </c>
      <c r="P137">
        <f t="shared" si="14"/>
        <v>12.496857855361595</v>
      </c>
    </row>
    <row r="138" spans="1:16">
      <c r="A138" s="4">
        <f>'11_Clean_Google'!A38</f>
        <v>46029</v>
      </c>
      <c r="B138" s="4" t="str">
        <f>'11_Clean_Google'!B38</f>
        <v>Google</v>
      </c>
      <c r="C138" s="4" t="str">
        <f>'11_Clean_Google'!C38</f>
        <v>Search_Brand</v>
      </c>
      <c r="D138" s="4" t="str">
        <f>'11_Clean_Google'!D38</f>
        <v>Group_3</v>
      </c>
      <c r="E138" s="4" t="str">
        <f>'11_Clean_Google'!E38</f>
        <v>Headline_C</v>
      </c>
      <c r="F138" s="8">
        <f>'11_Clean_Google'!F38</f>
        <v>217.35</v>
      </c>
      <c r="G138" s="8">
        <f>'11_Clean_Google'!G38</f>
        <v>12886</v>
      </c>
      <c r="H138" s="8">
        <f>'11_Clean_Google'!H38</f>
        <v>843</v>
      </c>
      <c r="I138" s="8">
        <f>'11_Clean_Google'!I38</f>
        <v>0</v>
      </c>
      <c r="J138" s="8">
        <f>'11_Clean_Google'!J38</f>
        <v>5</v>
      </c>
      <c r="K138" s="8">
        <f>'11_Clean_Google'!K38</f>
        <v>503.69</v>
      </c>
      <c r="L138">
        <f t="shared" si="10"/>
        <v>6.5419835480366284E-2</v>
      </c>
      <c r="M138" s="3">
        <f t="shared" si="11"/>
        <v>5.9311981020166073E-3</v>
      </c>
      <c r="N138" s="3">
        <f t="shared" si="12"/>
        <v>0.25782918149466194</v>
      </c>
      <c r="O138" s="3">
        <f t="shared" si="13"/>
        <v>43.47</v>
      </c>
      <c r="P138">
        <f t="shared" si="14"/>
        <v>2.3174143087186567</v>
      </c>
    </row>
    <row r="139" spans="1:16">
      <c r="A139" s="4">
        <f>'11_Clean_Google'!A39</f>
        <v>46030</v>
      </c>
      <c r="B139" s="4" t="str">
        <f>'11_Clean_Google'!B39</f>
        <v>Google</v>
      </c>
      <c r="C139" s="4" t="str">
        <f>'11_Clean_Google'!C39</f>
        <v>Search_Brand</v>
      </c>
      <c r="D139" s="4" t="str">
        <f>'11_Clean_Google'!D39</f>
        <v>Group_1</v>
      </c>
      <c r="E139" s="4" t="str">
        <f>'11_Clean_Google'!E39</f>
        <v>Headline_B</v>
      </c>
      <c r="F139" s="8">
        <f>'11_Clean_Google'!F39</f>
        <v>66.58</v>
      </c>
      <c r="G139" s="8">
        <f>'11_Clean_Google'!G39</f>
        <v>14608</v>
      </c>
      <c r="H139" s="8">
        <f>'11_Clean_Google'!H39</f>
        <v>58</v>
      </c>
      <c r="I139" s="8">
        <f>'11_Clean_Google'!I39</f>
        <v>0</v>
      </c>
      <c r="J139" s="8">
        <f>'11_Clean_Google'!J39</f>
        <v>11</v>
      </c>
      <c r="K139" s="8">
        <f>'11_Clean_Google'!K39</f>
        <v>1272.72</v>
      </c>
      <c r="L139">
        <f t="shared" si="10"/>
        <v>3.9704271631982478E-3</v>
      </c>
      <c r="M139" s="3">
        <f t="shared" si="11"/>
        <v>0.18965517241379309</v>
      </c>
      <c r="N139" s="3">
        <f t="shared" si="12"/>
        <v>1.1479310344827587</v>
      </c>
      <c r="O139" s="3">
        <f t="shared" si="13"/>
        <v>6.0527272727272727</v>
      </c>
      <c r="P139">
        <f t="shared" si="14"/>
        <v>19.115650345449083</v>
      </c>
    </row>
    <row r="140" spans="1:16">
      <c r="A140" s="4">
        <f>'11_Clean_Google'!A40</f>
        <v>46031</v>
      </c>
      <c r="B140" s="4" t="str">
        <f>'11_Clean_Google'!B40</f>
        <v>Google</v>
      </c>
      <c r="C140" s="4" t="str">
        <f>'11_Clean_Google'!C40</f>
        <v>Search_Brand</v>
      </c>
      <c r="D140" s="4" t="str">
        <f>'11_Clean_Google'!D40</f>
        <v>Group_1</v>
      </c>
      <c r="E140" s="4" t="str">
        <f>'11_Clean_Google'!E40</f>
        <v>Headline_B</v>
      </c>
      <c r="F140" s="8">
        <f>'11_Clean_Google'!F40</f>
        <v>244.02</v>
      </c>
      <c r="G140" s="8">
        <f>'11_Clean_Google'!G40</f>
        <v>8782</v>
      </c>
      <c r="H140" s="8">
        <f>'11_Clean_Google'!H40</f>
        <v>506</v>
      </c>
      <c r="I140" s="8">
        <f>'11_Clean_Google'!I40</f>
        <v>0</v>
      </c>
      <c r="J140" s="8">
        <f>'11_Clean_Google'!J40</f>
        <v>34</v>
      </c>
      <c r="K140" s="8">
        <f>'11_Clean_Google'!K40</f>
        <v>1177.4100000000001</v>
      </c>
      <c r="L140">
        <f t="shared" si="10"/>
        <v>5.7617854702801181E-2</v>
      </c>
      <c r="M140" s="3">
        <f t="shared" si="11"/>
        <v>6.7193675889328064E-2</v>
      </c>
      <c r="N140" s="3">
        <f t="shared" si="12"/>
        <v>0.48225296442687748</v>
      </c>
      <c r="O140" s="3">
        <f t="shared" si="13"/>
        <v>7.1770588235294124</v>
      </c>
      <c r="P140">
        <f t="shared" si="14"/>
        <v>4.8250553233341531</v>
      </c>
    </row>
    <row r="141" spans="1:16">
      <c r="A141" s="4">
        <f>'11_Clean_Google'!A41</f>
        <v>46032</v>
      </c>
      <c r="B141" s="4" t="str">
        <f>'11_Clean_Google'!B41</f>
        <v>Google</v>
      </c>
      <c r="C141" s="4" t="str">
        <f>'11_Clean_Google'!C41</f>
        <v>PMax</v>
      </c>
      <c r="D141" s="4" t="str">
        <f>'11_Clean_Google'!D41</f>
        <v>Group_1</v>
      </c>
      <c r="E141" s="4" t="str">
        <f>'11_Clean_Google'!E41</f>
        <v>Headline_B</v>
      </c>
      <c r="F141" s="8">
        <f>'11_Clean_Google'!F41</f>
        <v>198.24</v>
      </c>
      <c r="G141" s="8">
        <f>'11_Clean_Google'!G41</f>
        <v>4907</v>
      </c>
      <c r="H141" s="8">
        <f>'11_Clean_Google'!H41</f>
        <v>347</v>
      </c>
      <c r="I141" s="8">
        <f>'11_Clean_Google'!I41</f>
        <v>0</v>
      </c>
      <c r="J141" s="8">
        <f>'11_Clean_Google'!J41</f>
        <v>24</v>
      </c>
      <c r="K141" s="8">
        <f>'11_Clean_Google'!K41</f>
        <v>406.68</v>
      </c>
      <c r="L141">
        <f t="shared" si="10"/>
        <v>7.0715304666802523E-2</v>
      </c>
      <c r="M141" s="3">
        <f t="shared" si="11"/>
        <v>6.9164265129683003E-2</v>
      </c>
      <c r="N141" s="3">
        <f t="shared" si="12"/>
        <v>0.57129682997118159</v>
      </c>
      <c r="O141" s="3">
        <f t="shared" si="13"/>
        <v>8.26</v>
      </c>
      <c r="P141">
        <f t="shared" si="14"/>
        <v>2.0514527845036321</v>
      </c>
    </row>
    <row r="142" spans="1:16">
      <c r="A142" s="4">
        <f>'11_Clean_Google'!A42</f>
        <v>46033</v>
      </c>
      <c r="B142" s="4" t="str">
        <f>'11_Clean_Google'!B42</f>
        <v>Google</v>
      </c>
      <c r="C142" s="4" t="str">
        <f>'11_Clean_Google'!C42</f>
        <v>PMax</v>
      </c>
      <c r="D142" s="4" t="str">
        <f>'11_Clean_Google'!D42</f>
        <v>Group_3</v>
      </c>
      <c r="E142" s="4" t="str">
        <f>'11_Clean_Google'!E42</f>
        <v>Headline_A</v>
      </c>
      <c r="F142" s="8">
        <f>'11_Clean_Google'!F42</f>
        <v>41.85</v>
      </c>
      <c r="G142" s="8">
        <f>'11_Clean_Google'!G42</f>
        <v>2141</v>
      </c>
      <c r="H142" s="8">
        <f>'11_Clean_Google'!H42</f>
        <v>274</v>
      </c>
      <c r="I142" s="8">
        <f>'11_Clean_Google'!I42</f>
        <v>0</v>
      </c>
      <c r="J142" s="8">
        <f>'11_Clean_Google'!J42</f>
        <v>15</v>
      </c>
      <c r="K142" s="8">
        <f>'11_Clean_Google'!K42</f>
        <v>266.5</v>
      </c>
      <c r="L142">
        <f t="shared" si="10"/>
        <v>0.12797758056982719</v>
      </c>
      <c r="M142" s="3">
        <f t="shared" si="11"/>
        <v>5.4744525547445258E-2</v>
      </c>
      <c r="N142" s="3">
        <f t="shared" si="12"/>
        <v>0.15273722627737227</v>
      </c>
      <c r="O142" s="3">
        <f t="shared" si="13"/>
        <v>2.79</v>
      </c>
      <c r="P142">
        <f t="shared" si="14"/>
        <v>6.3679808841099161</v>
      </c>
    </row>
    <row r="143" spans="1:16">
      <c r="A143" s="4">
        <f>'11_Clean_Google'!A43</f>
        <v>46034</v>
      </c>
      <c r="B143" s="4" t="str">
        <f>'11_Clean_Google'!B43</f>
        <v>Google</v>
      </c>
      <c r="C143" s="4" t="str">
        <f>'11_Clean_Google'!C43</f>
        <v>Search_Generic</v>
      </c>
      <c r="D143" s="4" t="str">
        <f>'11_Clean_Google'!D43</f>
        <v>Group_1</v>
      </c>
      <c r="E143" s="4" t="str">
        <f>'11_Clean_Google'!E43</f>
        <v>Headline_A</v>
      </c>
      <c r="F143" s="8">
        <f>'11_Clean_Google'!F43</f>
        <v>147.96</v>
      </c>
      <c r="G143" s="8">
        <f>'11_Clean_Google'!G43</f>
        <v>12655</v>
      </c>
      <c r="H143" s="8">
        <f>'11_Clean_Google'!H43</f>
        <v>777</v>
      </c>
      <c r="I143" s="8">
        <f>'11_Clean_Google'!I43</f>
        <v>0</v>
      </c>
      <c r="J143" s="8">
        <f>'11_Clean_Google'!J43</f>
        <v>38</v>
      </c>
      <c r="K143" s="8">
        <f>'11_Clean_Google'!K43</f>
        <v>1312.64</v>
      </c>
      <c r="L143">
        <f t="shared" si="10"/>
        <v>6.1398656657447648E-2</v>
      </c>
      <c r="M143" s="3">
        <f t="shared" si="11"/>
        <v>4.8906048906048903E-2</v>
      </c>
      <c r="N143" s="3">
        <f t="shared" si="12"/>
        <v>0.19042471042471043</v>
      </c>
      <c r="O143" s="3">
        <f t="shared" si="13"/>
        <v>3.8936842105263159</v>
      </c>
      <c r="P143">
        <f t="shared" si="14"/>
        <v>8.8715869153825366</v>
      </c>
    </row>
    <row r="144" spans="1:16">
      <c r="A144" s="4">
        <f>'11_Clean_Google'!A44</f>
        <v>46035</v>
      </c>
      <c r="B144" s="4" t="str">
        <f>'11_Clean_Google'!B44</f>
        <v>Google</v>
      </c>
      <c r="C144" s="4" t="str">
        <f>'11_Clean_Google'!C44</f>
        <v>PMax</v>
      </c>
      <c r="D144" s="4" t="str">
        <f>'11_Clean_Google'!D44</f>
        <v>Group_2</v>
      </c>
      <c r="E144" s="4" t="str">
        <f>'11_Clean_Google'!E44</f>
        <v>Headline_C</v>
      </c>
      <c r="F144" s="8">
        <f>'11_Clean_Google'!F44</f>
        <v>246.56</v>
      </c>
      <c r="G144" s="8">
        <f>'11_Clean_Google'!G44</f>
        <v>9207</v>
      </c>
      <c r="H144" s="8">
        <f>'11_Clean_Google'!H44</f>
        <v>726</v>
      </c>
      <c r="I144" s="8">
        <f>'11_Clean_Google'!I44</f>
        <v>0</v>
      </c>
      <c r="J144" s="8">
        <f>'11_Clean_Google'!J44</f>
        <v>8</v>
      </c>
      <c r="K144" s="8">
        <f>'11_Clean_Google'!K44</f>
        <v>1447.8</v>
      </c>
      <c r="L144">
        <f t="shared" si="10"/>
        <v>7.8853046594982074E-2</v>
      </c>
      <c r="M144" s="3">
        <f t="shared" si="11"/>
        <v>1.1019283746556474E-2</v>
      </c>
      <c r="N144" s="3">
        <f t="shared" si="12"/>
        <v>0.33961432506887052</v>
      </c>
      <c r="O144" s="3">
        <f t="shared" si="13"/>
        <v>30.82</v>
      </c>
      <c r="P144">
        <f t="shared" si="14"/>
        <v>5.8719987021414664</v>
      </c>
    </row>
    <row r="145" spans="1:16">
      <c r="A145" s="4">
        <f>'11_Clean_Google'!A45</f>
        <v>46036</v>
      </c>
      <c r="B145" s="4" t="str">
        <f>'11_Clean_Google'!B45</f>
        <v>Google</v>
      </c>
      <c r="C145" s="4" t="str">
        <f>'11_Clean_Google'!C45</f>
        <v>PMax</v>
      </c>
      <c r="D145" s="4" t="str">
        <f>'11_Clean_Google'!D45</f>
        <v>Group_3</v>
      </c>
      <c r="E145" s="4" t="str">
        <f>'11_Clean_Google'!E45</f>
        <v>Headline_A</v>
      </c>
      <c r="F145" s="8">
        <f>'11_Clean_Google'!F45</f>
        <v>125.7</v>
      </c>
      <c r="G145" s="8">
        <f>'11_Clean_Google'!G45</f>
        <v>1138</v>
      </c>
      <c r="H145" s="8">
        <f>'11_Clean_Google'!H45</f>
        <v>301</v>
      </c>
      <c r="I145" s="8">
        <f>'11_Clean_Google'!I45</f>
        <v>0</v>
      </c>
      <c r="J145" s="8">
        <f>'11_Clean_Google'!J45</f>
        <v>5</v>
      </c>
      <c r="K145" s="8">
        <f>'11_Clean_Google'!K45</f>
        <v>124.45</v>
      </c>
      <c r="L145">
        <f t="shared" si="10"/>
        <v>0.26449912126537783</v>
      </c>
      <c r="M145" s="3">
        <f t="shared" si="11"/>
        <v>1.6611295681063124E-2</v>
      </c>
      <c r="N145" s="3">
        <f t="shared" si="12"/>
        <v>0.4176079734219269</v>
      </c>
      <c r="O145" s="3">
        <f t="shared" si="13"/>
        <v>25.14</v>
      </c>
      <c r="P145">
        <f t="shared" si="14"/>
        <v>0.99005568814638023</v>
      </c>
    </row>
    <row r="146" spans="1:16">
      <c r="A146" s="4">
        <f>'11_Clean_Google'!A46</f>
        <v>46037</v>
      </c>
      <c r="B146" s="4" t="str">
        <f>'11_Clean_Google'!B46</f>
        <v>Google</v>
      </c>
      <c r="C146" s="4" t="str">
        <f>'11_Clean_Google'!C46</f>
        <v>Search_Generic</v>
      </c>
      <c r="D146" s="4" t="str">
        <f>'11_Clean_Google'!D46</f>
        <v>Group_3</v>
      </c>
      <c r="E146" s="4" t="str">
        <f>'11_Clean_Google'!E46</f>
        <v>Headline_A</v>
      </c>
      <c r="F146" s="8">
        <f>'11_Clean_Google'!F46</f>
        <v>57.8</v>
      </c>
      <c r="G146" s="8">
        <f>'11_Clean_Google'!G46</f>
        <v>6695</v>
      </c>
      <c r="H146" s="8">
        <f>'11_Clean_Google'!H46</f>
        <v>469</v>
      </c>
      <c r="I146" s="8">
        <f>'11_Clean_Google'!I46</f>
        <v>0</v>
      </c>
      <c r="J146" s="8">
        <f>'11_Clean_Google'!J46</f>
        <v>26</v>
      </c>
      <c r="K146" s="8">
        <f>'11_Clean_Google'!K46</f>
        <v>1118.4000000000001</v>
      </c>
      <c r="L146">
        <f t="shared" si="10"/>
        <v>7.0052277819268108E-2</v>
      </c>
      <c r="M146" s="3">
        <f t="shared" si="11"/>
        <v>5.5437100213219619E-2</v>
      </c>
      <c r="N146" s="3">
        <f t="shared" si="12"/>
        <v>0.12324093816631129</v>
      </c>
      <c r="O146" s="3">
        <f t="shared" si="13"/>
        <v>2.2230769230769232</v>
      </c>
      <c r="P146">
        <f t="shared" si="14"/>
        <v>19.349480968858135</v>
      </c>
    </row>
    <row r="147" spans="1:16">
      <c r="A147" s="4">
        <f>'11_Clean_Google'!A47</f>
        <v>46038</v>
      </c>
      <c r="B147" s="4" t="str">
        <f>'11_Clean_Google'!B47</f>
        <v>Google</v>
      </c>
      <c r="C147" s="4" t="str">
        <f>'11_Clean_Google'!C47</f>
        <v>PMax</v>
      </c>
      <c r="D147" s="4" t="str">
        <f>'11_Clean_Google'!D47</f>
        <v>Group_3</v>
      </c>
      <c r="E147" s="4" t="str">
        <f>'11_Clean_Google'!E47</f>
        <v>Headline_A</v>
      </c>
      <c r="F147" s="8">
        <f>'11_Clean_Google'!F47</f>
        <v>128.91999999999999</v>
      </c>
      <c r="G147" s="8">
        <f>'11_Clean_Google'!G47</f>
        <v>13054</v>
      </c>
      <c r="H147" s="8">
        <f>'11_Clean_Google'!H47</f>
        <v>777</v>
      </c>
      <c r="I147" s="8">
        <f>'11_Clean_Google'!I47</f>
        <v>0</v>
      </c>
      <c r="J147" s="8">
        <f>'11_Clean_Google'!J47</f>
        <v>18</v>
      </c>
      <c r="K147" s="8">
        <f>'11_Clean_Google'!K47</f>
        <v>1371.52</v>
      </c>
      <c r="L147">
        <f t="shared" si="10"/>
        <v>5.9521985598284054E-2</v>
      </c>
      <c r="M147" s="3">
        <f t="shared" si="11"/>
        <v>2.3166023166023165E-2</v>
      </c>
      <c r="N147" s="3">
        <f t="shared" si="12"/>
        <v>0.1659202059202059</v>
      </c>
      <c r="O147" s="3">
        <f t="shared" si="13"/>
        <v>7.1622222222222218</v>
      </c>
      <c r="P147">
        <f t="shared" si="14"/>
        <v>10.638535525907541</v>
      </c>
    </row>
    <row r="148" spans="1:16">
      <c r="A148" s="4">
        <f>'11_Clean_Google'!A48</f>
        <v>46039</v>
      </c>
      <c r="B148" s="4" t="str">
        <f>'11_Clean_Google'!B48</f>
        <v>Google</v>
      </c>
      <c r="C148" s="4" t="str">
        <f>'11_Clean_Google'!C48</f>
        <v>Search_Brand</v>
      </c>
      <c r="D148" s="4" t="str">
        <f>'11_Clean_Google'!D48</f>
        <v>Group_3</v>
      </c>
      <c r="E148" s="4" t="str">
        <f>'11_Clean_Google'!E48</f>
        <v>Headline_B</v>
      </c>
      <c r="F148" s="8">
        <f>'11_Clean_Google'!F48</f>
        <v>135.43</v>
      </c>
      <c r="G148" s="8">
        <f>'11_Clean_Google'!G48</f>
        <v>3508</v>
      </c>
      <c r="H148" s="8">
        <f>'11_Clean_Google'!H48</f>
        <v>268</v>
      </c>
      <c r="I148" s="8">
        <f>'11_Clean_Google'!I48</f>
        <v>0</v>
      </c>
      <c r="J148" s="8">
        <f>'11_Clean_Google'!J48</f>
        <v>6</v>
      </c>
      <c r="K148" s="8">
        <f>'11_Clean_Google'!K48</f>
        <v>1297.45</v>
      </c>
      <c r="L148">
        <f t="shared" si="10"/>
        <v>7.6396807297605479E-2</v>
      </c>
      <c r="M148" s="3">
        <f t="shared" si="11"/>
        <v>2.2388059701492536E-2</v>
      </c>
      <c r="N148" s="3">
        <f t="shared" si="12"/>
        <v>0.50533582089552243</v>
      </c>
      <c r="O148" s="3">
        <f t="shared" si="13"/>
        <v>22.571666666666669</v>
      </c>
      <c r="P148">
        <f t="shared" si="14"/>
        <v>9.5802259469836812</v>
      </c>
    </row>
    <row r="149" spans="1:16">
      <c r="A149" s="4">
        <f>'11_Clean_Google'!A49</f>
        <v>46040</v>
      </c>
      <c r="B149" s="4" t="str">
        <f>'11_Clean_Google'!B49</f>
        <v>Google</v>
      </c>
      <c r="C149" s="4" t="str">
        <f>'11_Clean_Google'!C49</f>
        <v>Search_Brand</v>
      </c>
      <c r="D149" s="4" t="str">
        <f>'11_Clean_Google'!D49</f>
        <v>Group_2</v>
      </c>
      <c r="E149" s="4" t="str">
        <f>'11_Clean_Google'!E49</f>
        <v>Headline_B</v>
      </c>
      <c r="F149" s="8">
        <f>'11_Clean_Google'!F49</f>
        <v>189.3</v>
      </c>
      <c r="G149" s="8">
        <f>'11_Clean_Google'!G49</f>
        <v>12144</v>
      </c>
      <c r="H149" s="8">
        <f>'11_Clean_Google'!H49</f>
        <v>406</v>
      </c>
      <c r="I149" s="8">
        <f>'11_Clean_Google'!I49</f>
        <v>0</v>
      </c>
      <c r="J149" s="8">
        <f>'11_Clean_Google'!J49</f>
        <v>37</v>
      </c>
      <c r="K149" s="8">
        <f>'11_Clean_Google'!K49</f>
        <v>1449.62</v>
      </c>
      <c r="L149">
        <f t="shared" si="10"/>
        <v>3.3432147562582344E-2</v>
      </c>
      <c r="M149" s="3">
        <f t="shared" si="11"/>
        <v>9.1133004926108374E-2</v>
      </c>
      <c r="N149" s="3">
        <f t="shared" si="12"/>
        <v>0.46625615763546802</v>
      </c>
      <c r="O149" s="3">
        <f t="shared" si="13"/>
        <v>5.1162162162162161</v>
      </c>
      <c r="P149">
        <f t="shared" si="14"/>
        <v>7.6577918647649224</v>
      </c>
    </row>
    <row r="150" spans="1:16">
      <c r="A150" s="4">
        <f>'11_Clean_Google'!A50</f>
        <v>46041</v>
      </c>
      <c r="B150" s="4" t="str">
        <f>'11_Clean_Google'!B50</f>
        <v>Google</v>
      </c>
      <c r="C150" s="4" t="str">
        <f>'11_Clean_Google'!C50</f>
        <v>Search_Generic</v>
      </c>
      <c r="D150" s="4" t="str">
        <f>'11_Clean_Google'!D50</f>
        <v>Group_3</v>
      </c>
      <c r="E150" s="4" t="str">
        <f>'11_Clean_Google'!E50</f>
        <v>Headline_C</v>
      </c>
      <c r="F150" s="8">
        <f>'11_Clean_Google'!F50</f>
        <v>179.23</v>
      </c>
      <c r="G150" s="8">
        <f>'11_Clean_Google'!G50</f>
        <v>2550</v>
      </c>
      <c r="H150" s="8">
        <f>'11_Clean_Google'!H50</f>
        <v>295</v>
      </c>
      <c r="I150" s="8">
        <f>'11_Clean_Google'!I50</f>
        <v>0</v>
      </c>
      <c r="J150" s="8">
        <f>'11_Clean_Google'!J50</f>
        <v>13</v>
      </c>
      <c r="K150" s="8">
        <f>'11_Clean_Google'!K50</f>
        <v>1159.33</v>
      </c>
      <c r="L150">
        <f t="shared" si="10"/>
        <v>0.11568627450980393</v>
      </c>
      <c r="M150" s="3">
        <f t="shared" si="11"/>
        <v>4.4067796610169491E-2</v>
      </c>
      <c r="N150" s="3">
        <f t="shared" si="12"/>
        <v>0.60755932203389829</v>
      </c>
      <c r="O150" s="3">
        <f t="shared" si="13"/>
        <v>13.786923076923076</v>
      </c>
      <c r="P150">
        <f t="shared" si="14"/>
        <v>6.4683925682084471</v>
      </c>
    </row>
    <row r="151" spans="1:16">
      <c r="A151" s="4">
        <f>'11_Clean_Google'!A51</f>
        <v>46042</v>
      </c>
      <c r="B151" s="4" t="str">
        <f>'11_Clean_Google'!B51</f>
        <v>Google</v>
      </c>
      <c r="C151" s="4" t="str">
        <f>'11_Clean_Google'!C51</f>
        <v>Search_Generic</v>
      </c>
      <c r="D151" s="4" t="str">
        <f>'11_Clean_Google'!D51</f>
        <v>Group_3</v>
      </c>
      <c r="E151" s="4" t="str">
        <f>'11_Clean_Google'!E51</f>
        <v>Headline_A</v>
      </c>
      <c r="F151" s="8">
        <f>'11_Clean_Google'!F51</f>
        <v>109.6</v>
      </c>
      <c r="G151" s="8">
        <f>'11_Clean_Google'!G51</f>
        <v>6404</v>
      </c>
      <c r="H151" s="8">
        <f>'11_Clean_Google'!H51</f>
        <v>388</v>
      </c>
      <c r="I151" s="8">
        <f>'11_Clean_Google'!I51</f>
        <v>0</v>
      </c>
      <c r="J151" s="8">
        <f>'11_Clean_Google'!J51</f>
        <v>28</v>
      </c>
      <c r="K151" s="8">
        <f>'11_Clean_Google'!K51</f>
        <v>708.06</v>
      </c>
      <c r="L151">
        <f t="shared" si="10"/>
        <v>6.0587133041848845E-2</v>
      </c>
      <c r="M151" s="3">
        <f t="shared" si="11"/>
        <v>7.2164948453608241E-2</v>
      </c>
      <c r="N151" s="3">
        <f t="shared" si="12"/>
        <v>0.28247422680412371</v>
      </c>
      <c r="O151" s="3">
        <f t="shared" si="13"/>
        <v>3.9142857142857141</v>
      </c>
      <c r="P151">
        <f t="shared" si="14"/>
        <v>6.4604014598540145</v>
      </c>
    </row>
    <row r="152" spans="1:16">
      <c r="A152" s="4">
        <f>'11_Clean_Google'!A52</f>
        <v>46043</v>
      </c>
      <c r="B152" s="4" t="str">
        <f>'11_Clean_Google'!B52</f>
        <v>Google</v>
      </c>
      <c r="C152" s="4" t="str">
        <f>'11_Clean_Google'!C52</f>
        <v>Search_Generic</v>
      </c>
      <c r="D152" s="4" t="str">
        <f>'11_Clean_Google'!D52</f>
        <v>Group_1</v>
      </c>
      <c r="E152" s="4" t="str">
        <f>'11_Clean_Google'!E52</f>
        <v>Headline_A</v>
      </c>
      <c r="F152" s="8">
        <f>'11_Clean_Google'!F52</f>
        <v>66.239999999999995</v>
      </c>
      <c r="G152" s="8">
        <f>'11_Clean_Google'!G52</f>
        <v>3221</v>
      </c>
      <c r="H152" s="8">
        <f>'11_Clean_Google'!H52</f>
        <v>369</v>
      </c>
      <c r="I152" s="8">
        <f>'11_Clean_Google'!I52</f>
        <v>0</v>
      </c>
      <c r="J152" s="8">
        <f>'11_Clean_Google'!J52</f>
        <v>5</v>
      </c>
      <c r="K152" s="8">
        <f>'11_Clean_Google'!K52</f>
        <v>522.97</v>
      </c>
      <c r="L152">
        <f t="shared" si="10"/>
        <v>0.11456069543619994</v>
      </c>
      <c r="M152" s="3">
        <f t="shared" si="11"/>
        <v>1.3550135501355014E-2</v>
      </c>
      <c r="N152" s="3">
        <f t="shared" si="12"/>
        <v>0.17951219512195121</v>
      </c>
      <c r="O152" s="3">
        <f t="shared" si="13"/>
        <v>13.247999999999999</v>
      </c>
      <c r="P152">
        <f t="shared" si="14"/>
        <v>7.8950785024154602</v>
      </c>
    </row>
    <row r="153" spans="1:16">
      <c r="A153" s="4">
        <f>'11_Clean_Google'!A53</f>
        <v>46044</v>
      </c>
      <c r="B153" s="4" t="str">
        <f>'11_Clean_Google'!B53</f>
        <v>Google</v>
      </c>
      <c r="C153" s="4" t="str">
        <f>'11_Clean_Google'!C53</f>
        <v>Search_Brand</v>
      </c>
      <c r="D153" s="4" t="str">
        <f>'11_Clean_Google'!D53</f>
        <v>Group_3</v>
      </c>
      <c r="E153" s="4" t="str">
        <f>'11_Clean_Google'!E53</f>
        <v>Headline_C</v>
      </c>
      <c r="F153" s="8">
        <f>'11_Clean_Google'!F53</f>
        <v>166.59</v>
      </c>
      <c r="G153" s="8">
        <f>'11_Clean_Google'!G53</f>
        <v>7919</v>
      </c>
      <c r="H153" s="8">
        <f>'11_Clean_Google'!H53</f>
        <v>418</v>
      </c>
      <c r="I153" s="8">
        <f>'11_Clean_Google'!I53</f>
        <v>0</v>
      </c>
      <c r="J153" s="8">
        <f>'11_Clean_Google'!J53</f>
        <v>13</v>
      </c>
      <c r="K153" s="8">
        <f>'11_Clean_Google'!K53</f>
        <v>535.45000000000005</v>
      </c>
      <c r="L153">
        <f t="shared" si="10"/>
        <v>5.2784442480111125E-2</v>
      </c>
      <c r="M153" s="3">
        <f t="shared" si="11"/>
        <v>3.1100478468899521E-2</v>
      </c>
      <c r="N153" s="3">
        <f t="shared" si="12"/>
        <v>0.39854066985645936</v>
      </c>
      <c r="O153" s="3">
        <f t="shared" si="13"/>
        <v>12.814615384615385</v>
      </c>
      <c r="P153">
        <f t="shared" si="14"/>
        <v>3.2141785221201755</v>
      </c>
    </row>
    <row r="154" spans="1:16">
      <c r="A154" s="4">
        <f>'11_Clean_Google'!A54</f>
        <v>46045</v>
      </c>
      <c r="B154" s="4" t="str">
        <f>'11_Clean_Google'!B54</f>
        <v>Google</v>
      </c>
      <c r="C154" s="4" t="str">
        <f>'11_Clean_Google'!C54</f>
        <v>PMax</v>
      </c>
      <c r="D154" s="4" t="str">
        <f>'11_Clean_Google'!D54</f>
        <v>Group_2</v>
      </c>
      <c r="E154" s="4" t="str">
        <f>'11_Clean_Google'!E54</f>
        <v>Headline_A</v>
      </c>
      <c r="F154" s="8">
        <f>'11_Clean_Google'!F54</f>
        <v>114.1</v>
      </c>
      <c r="G154" s="8">
        <f>'11_Clean_Google'!G54</f>
        <v>9701</v>
      </c>
      <c r="H154" s="8">
        <f>'11_Clean_Google'!H54</f>
        <v>606</v>
      </c>
      <c r="I154" s="8">
        <f>'11_Clean_Google'!I54</f>
        <v>0</v>
      </c>
      <c r="J154" s="8">
        <f>'11_Clean_Google'!J54</f>
        <v>17</v>
      </c>
      <c r="K154" s="8">
        <f>'11_Clean_Google'!K54</f>
        <v>1108.68</v>
      </c>
      <c r="L154">
        <f t="shared" si="10"/>
        <v>6.2467786826100401E-2</v>
      </c>
      <c r="M154" s="3">
        <f t="shared" si="11"/>
        <v>2.8052805280528052E-2</v>
      </c>
      <c r="N154" s="3">
        <f t="shared" si="12"/>
        <v>0.18828382838283828</v>
      </c>
      <c r="O154" s="3">
        <f t="shared" si="13"/>
        <v>6.7117647058823522</v>
      </c>
      <c r="P154">
        <f t="shared" si="14"/>
        <v>9.7167397020157775</v>
      </c>
    </row>
    <row r="155" spans="1:16">
      <c r="A155" s="4">
        <f>'11_Clean_Google'!A55</f>
        <v>46046</v>
      </c>
      <c r="B155" s="4" t="str">
        <f>'11_Clean_Google'!B55</f>
        <v>Google</v>
      </c>
      <c r="C155" s="4" t="str">
        <f>'11_Clean_Google'!C55</f>
        <v>Search_Brand</v>
      </c>
      <c r="D155" s="4" t="str">
        <f>'11_Clean_Google'!D55</f>
        <v>Group_2</v>
      </c>
      <c r="E155" s="4" t="str">
        <f>'11_Clean_Google'!E55</f>
        <v>Headline_A</v>
      </c>
      <c r="F155" s="8">
        <f>'11_Clean_Google'!F55</f>
        <v>46.08</v>
      </c>
      <c r="G155" s="8">
        <f>'11_Clean_Google'!G55</f>
        <v>6119</v>
      </c>
      <c r="H155" s="8">
        <f>'11_Clean_Google'!H55</f>
        <v>718</v>
      </c>
      <c r="I155" s="8">
        <f>'11_Clean_Google'!I55</f>
        <v>0</v>
      </c>
      <c r="J155" s="8">
        <f>'11_Clean_Google'!J55</f>
        <v>32</v>
      </c>
      <c r="K155" s="8">
        <f>'11_Clean_Google'!K55</f>
        <v>1139.0899999999999</v>
      </c>
      <c r="L155">
        <f t="shared" si="10"/>
        <v>0.11733943454812878</v>
      </c>
      <c r="M155" s="3">
        <f t="shared" si="11"/>
        <v>4.456824512534819E-2</v>
      </c>
      <c r="N155" s="3">
        <f t="shared" si="12"/>
        <v>6.4178272980501397E-2</v>
      </c>
      <c r="O155" s="3">
        <f t="shared" si="13"/>
        <v>1.44</v>
      </c>
      <c r="P155">
        <f t="shared" si="14"/>
        <v>24.719835069444443</v>
      </c>
    </row>
    <row r="156" spans="1:16">
      <c r="A156" s="4">
        <f>'11_Clean_Google'!A56</f>
        <v>46047</v>
      </c>
      <c r="B156" s="4" t="str">
        <f>'11_Clean_Google'!B56</f>
        <v>Google</v>
      </c>
      <c r="C156" s="4" t="str">
        <f>'11_Clean_Google'!C56</f>
        <v>Search_Generic</v>
      </c>
      <c r="D156" s="4" t="str">
        <f>'11_Clean_Google'!D56</f>
        <v>Group_2</v>
      </c>
      <c r="E156" s="4" t="str">
        <f>'11_Clean_Google'!E56</f>
        <v>Headline_B</v>
      </c>
      <c r="F156" s="8">
        <f>'11_Clean_Google'!F56</f>
        <v>226.63</v>
      </c>
      <c r="G156" s="8">
        <f>'11_Clean_Google'!G56</f>
        <v>7409</v>
      </c>
      <c r="H156" s="8">
        <f>'11_Clean_Google'!H56</f>
        <v>32</v>
      </c>
      <c r="I156" s="8">
        <f>'11_Clean_Google'!I56</f>
        <v>0</v>
      </c>
      <c r="J156" s="8">
        <f>'11_Clean_Google'!J56</f>
        <v>29</v>
      </c>
      <c r="K156" s="8">
        <f>'11_Clean_Google'!K56</f>
        <v>364.51</v>
      </c>
      <c r="L156">
        <f t="shared" si="10"/>
        <v>4.3190713996490758E-3</v>
      </c>
      <c r="M156" s="3">
        <f t="shared" si="11"/>
        <v>0.90625</v>
      </c>
      <c r="N156" s="3">
        <f t="shared" si="12"/>
        <v>7.0821874999999999</v>
      </c>
      <c r="O156" s="3">
        <f t="shared" si="13"/>
        <v>7.8148275862068965</v>
      </c>
      <c r="P156">
        <f t="shared" si="14"/>
        <v>1.6083925340863963</v>
      </c>
    </row>
    <row r="157" spans="1:16">
      <c r="A157" s="4">
        <f>'11_Clean_Google'!A57</f>
        <v>46048</v>
      </c>
      <c r="B157" s="4" t="str">
        <f>'11_Clean_Google'!B57</f>
        <v>Google</v>
      </c>
      <c r="C157" s="4" t="str">
        <f>'11_Clean_Google'!C57</f>
        <v>PMax</v>
      </c>
      <c r="D157" s="4" t="str">
        <f>'11_Clean_Google'!D57</f>
        <v>Group_2</v>
      </c>
      <c r="E157" s="4" t="str">
        <f>'11_Clean_Google'!E57</f>
        <v>Headline_C</v>
      </c>
      <c r="F157" s="8">
        <f>'11_Clean_Google'!F57</f>
        <v>177.44</v>
      </c>
      <c r="G157" s="8">
        <f>'11_Clean_Google'!G57</f>
        <v>14200</v>
      </c>
      <c r="H157" s="8">
        <f>'11_Clean_Google'!H57</f>
        <v>458</v>
      </c>
      <c r="I157" s="8">
        <f>'11_Clean_Google'!I57</f>
        <v>0</v>
      </c>
      <c r="J157" s="8">
        <f>'11_Clean_Google'!J57</f>
        <v>3</v>
      </c>
      <c r="K157" s="8">
        <f>'11_Clean_Google'!K57</f>
        <v>1312.73</v>
      </c>
      <c r="L157">
        <f t="shared" si="10"/>
        <v>3.2253521126760561E-2</v>
      </c>
      <c r="M157" s="3">
        <f t="shared" si="11"/>
        <v>6.5502183406113534E-3</v>
      </c>
      <c r="N157" s="3">
        <f t="shared" si="12"/>
        <v>0.38742358078602618</v>
      </c>
      <c r="O157" s="3">
        <f t="shared" si="13"/>
        <v>59.146666666666668</v>
      </c>
      <c r="P157">
        <f t="shared" si="14"/>
        <v>7.3981627592425614</v>
      </c>
    </row>
    <row r="158" spans="1:16">
      <c r="A158" s="4">
        <f>'11_Clean_Google'!A58</f>
        <v>46049</v>
      </c>
      <c r="B158" s="4" t="str">
        <f>'11_Clean_Google'!B58</f>
        <v>Google</v>
      </c>
      <c r="C158" s="4" t="str">
        <f>'11_Clean_Google'!C58</f>
        <v>PMax</v>
      </c>
      <c r="D158" s="4" t="str">
        <f>'11_Clean_Google'!D58</f>
        <v>Group_3</v>
      </c>
      <c r="E158" s="4" t="str">
        <f>'11_Clean_Google'!E58</f>
        <v>Headline_C</v>
      </c>
      <c r="F158" s="8">
        <f>'11_Clean_Google'!F58</f>
        <v>175.55</v>
      </c>
      <c r="G158" s="8">
        <f>'11_Clean_Google'!G58</f>
        <v>6187</v>
      </c>
      <c r="H158" s="8">
        <f>'11_Clean_Google'!H58</f>
        <v>171</v>
      </c>
      <c r="I158" s="8">
        <f>'11_Clean_Google'!I58</f>
        <v>0</v>
      </c>
      <c r="J158" s="8">
        <f>'11_Clean_Google'!J58</f>
        <v>34</v>
      </c>
      <c r="K158" s="8">
        <f>'11_Clean_Google'!K58</f>
        <v>1095.19</v>
      </c>
      <c r="L158">
        <f t="shared" si="10"/>
        <v>2.763859705834815E-2</v>
      </c>
      <c r="M158" s="3">
        <f t="shared" si="11"/>
        <v>0.19883040935672514</v>
      </c>
      <c r="N158" s="3">
        <f t="shared" si="12"/>
        <v>1.026608187134503</v>
      </c>
      <c r="O158" s="3">
        <f t="shared" si="13"/>
        <v>5.1632352941176478</v>
      </c>
      <c r="P158">
        <f t="shared" si="14"/>
        <v>6.2386214753631446</v>
      </c>
    </row>
    <row r="159" spans="1:16">
      <c r="A159" s="4">
        <f>'11_Clean_Google'!A59</f>
        <v>46050</v>
      </c>
      <c r="B159" s="4" t="str">
        <f>'11_Clean_Google'!B59</f>
        <v>Google</v>
      </c>
      <c r="C159" s="4" t="str">
        <f>'11_Clean_Google'!C59</f>
        <v>Search_Brand</v>
      </c>
      <c r="D159" s="4" t="str">
        <f>'11_Clean_Google'!D59</f>
        <v>Group_3</v>
      </c>
      <c r="E159" s="4" t="str">
        <f>'11_Clean_Google'!E59</f>
        <v>Headline_C</v>
      </c>
      <c r="F159" s="8">
        <f>'11_Clean_Google'!F59</f>
        <v>208.31</v>
      </c>
      <c r="G159" s="8">
        <f>'11_Clean_Google'!G59</f>
        <v>12718</v>
      </c>
      <c r="H159" s="8">
        <f>'11_Clean_Google'!H59</f>
        <v>405</v>
      </c>
      <c r="I159" s="8">
        <f>'11_Clean_Google'!I59</f>
        <v>0</v>
      </c>
      <c r="J159" s="8">
        <f>'11_Clean_Google'!J59</f>
        <v>27</v>
      </c>
      <c r="K159" s="8">
        <f>'11_Clean_Google'!K59</f>
        <v>879.11</v>
      </c>
      <c r="L159">
        <f t="shared" si="10"/>
        <v>3.1844629658751379E-2</v>
      </c>
      <c r="M159" s="3">
        <f t="shared" si="11"/>
        <v>6.6666666666666666E-2</v>
      </c>
      <c r="N159" s="3">
        <f t="shared" si="12"/>
        <v>0.51434567901234574</v>
      </c>
      <c r="O159" s="3">
        <f t="shared" si="13"/>
        <v>7.7151851851851854</v>
      </c>
      <c r="P159">
        <f t="shared" si="14"/>
        <v>4.2202006624741975</v>
      </c>
    </row>
    <row r="160" spans="1:16">
      <c r="A160" s="4">
        <f>'11_Clean_Google'!A60</f>
        <v>46051</v>
      </c>
      <c r="B160" s="4" t="str">
        <f>'11_Clean_Google'!B60</f>
        <v>Google</v>
      </c>
      <c r="C160" s="4" t="str">
        <f>'11_Clean_Google'!C60</f>
        <v>Search_Generic</v>
      </c>
      <c r="D160" s="4" t="str">
        <f>'11_Clean_Google'!D60</f>
        <v>Group_2</v>
      </c>
      <c r="E160" s="4" t="str">
        <f>'11_Clean_Google'!E60</f>
        <v>Headline_C</v>
      </c>
      <c r="F160" s="8">
        <f>'11_Clean_Google'!F60</f>
        <v>139.47</v>
      </c>
      <c r="G160" s="8">
        <f>'11_Clean_Google'!G60</f>
        <v>12634</v>
      </c>
      <c r="H160" s="8">
        <f>'11_Clean_Google'!H60</f>
        <v>699</v>
      </c>
      <c r="I160" s="8">
        <f>'11_Clean_Google'!I60</f>
        <v>0</v>
      </c>
      <c r="J160" s="8">
        <f>'11_Clean_Google'!J60</f>
        <v>13</v>
      </c>
      <c r="K160" s="8">
        <f>'11_Clean_Google'!K60</f>
        <v>749.58</v>
      </c>
      <c r="L160">
        <f t="shared" si="10"/>
        <v>5.5326895678328318E-2</v>
      </c>
      <c r="M160" s="3">
        <f t="shared" si="11"/>
        <v>1.8597997138769671E-2</v>
      </c>
      <c r="N160" s="3">
        <f t="shared" si="12"/>
        <v>0.19952789699570816</v>
      </c>
      <c r="O160" s="3">
        <f t="shared" si="13"/>
        <v>10.728461538461538</v>
      </c>
      <c r="P160">
        <f t="shared" si="14"/>
        <v>5.3744891374489141</v>
      </c>
    </row>
    <row r="161" spans="1:16">
      <c r="A161" s="4">
        <f>'11_Clean_Google'!A61</f>
        <v>46052</v>
      </c>
      <c r="B161" s="4" t="str">
        <f>'11_Clean_Google'!B61</f>
        <v>Google</v>
      </c>
      <c r="C161" s="4" t="str">
        <f>'11_Clean_Google'!C61</f>
        <v>Search_Brand</v>
      </c>
      <c r="D161" s="4" t="str">
        <f>'11_Clean_Google'!D61</f>
        <v>Group_2</v>
      </c>
      <c r="E161" s="4" t="str">
        <f>'11_Clean_Google'!E61</f>
        <v>Headline_B</v>
      </c>
      <c r="F161" s="8">
        <f>'11_Clean_Google'!F61</f>
        <v>206.54</v>
      </c>
      <c r="G161" s="8">
        <f>'11_Clean_Google'!G61</f>
        <v>4793</v>
      </c>
      <c r="H161" s="8">
        <f>'11_Clean_Google'!H61</f>
        <v>353</v>
      </c>
      <c r="I161" s="8">
        <f>'11_Clean_Google'!I61</f>
        <v>0</v>
      </c>
      <c r="J161" s="8">
        <f>'11_Clean_Google'!J61</f>
        <v>33</v>
      </c>
      <c r="K161" s="8">
        <f>'11_Clean_Google'!K61</f>
        <v>851.39</v>
      </c>
      <c r="L161">
        <f t="shared" si="10"/>
        <v>7.3649071562695595E-2</v>
      </c>
      <c r="M161" s="3">
        <f t="shared" si="11"/>
        <v>9.3484419263456089E-2</v>
      </c>
      <c r="N161" s="3">
        <f t="shared" si="12"/>
        <v>0.58509915014164304</v>
      </c>
      <c r="O161" s="3">
        <f t="shared" si="13"/>
        <v>6.2587878787878788</v>
      </c>
      <c r="P161">
        <f t="shared" si="14"/>
        <v>4.1221555146702817</v>
      </c>
    </row>
    <row r="162" spans="1:16">
      <c r="A162" s="4">
        <f>'11_Clean_Google'!A62</f>
        <v>46023</v>
      </c>
      <c r="B162" s="4" t="str">
        <f>'11_Clean_Google'!B62</f>
        <v>Google</v>
      </c>
      <c r="C162" s="4" t="str">
        <f>'11_Clean_Google'!C62</f>
        <v>PMax</v>
      </c>
      <c r="D162" s="4" t="str">
        <f>'11_Clean_Google'!D62</f>
        <v>Group_3</v>
      </c>
      <c r="E162" s="4" t="str">
        <f>'11_Clean_Google'!E62</f>
        <v>Headline_B</v>
      </c>
      <c r="F162" s="8">
        <f>'11_Clean_Google'!F62</f>
        <v>132.05000000000001</v>
      </c>
      <c r="G162" s="8">
        <f>'11_Clean_Google'!G62</f>
        <v>9480</v>
      </c>
      <c r="H162" s="8">
        <f>'11_Clean_Google'!H62</f>
        <v>175</v>
      </c>
      <c r="I162" s="8">
        <f>'11_Clean_Google'!I62</f>
        <v>0</v>
      </c>
      <c r="J162" s="8">
        <f>'11_Clean_Google'!J62</f>
        <v>6</v>
      </c>
      <c r="K162" s="8">
        <f>'11_Clean_Google'!K62</f>
        <v>306.13</v>
      </c>
      <c r="L162">
        <f t="shared" si="10"/>
        <v>1.8459915611814346E-2</v>
      </c>
      <c r="M162" s="3">
        <f t="shared" si="11"/>
        <v>3.4285714285714287E-2</v>
      </c>
      <c r="N162" s="3">
        <f t="shared" si="12"/>
        <v>0.75457142857142867</v>
      </c>
      <c r="O162" s="3">
        <f t="shared" si="13"/>
        <v>22.008333333333336</v>
      </c>
      <c r="P162">
        <f t="shared" si="14"/>
        <v>2.318288527073078</v>
      </c>
    </row>
    <row r="163" spans="1:16">
      <c r="A163" s="4">
        <f>'11_Clean_Google'!A63</f>
        <v>46024</v>
      </c>
      <c r="B163" s="4" t="str">
        <f>'11_Clean_Google'!B63</f>
        <v>Google</v>
      </c>
      <c r="C163" s="4" t="str">
        <f>'11_Clean_Google'!C63</f>
        <v>Search_Brand</v>
      </c>
      <c r="D163" s="4" t="str">
        <f>'11_Clean_Google'!D63</f>
        <v>Group_2</v>
      </c>
      <c r="E163" s="4" t="str">
        <f>'11_Clean_Google'!E63</f>
        <v>Headline_A</v>
      </c>
      <c r="F163" s="8">
        <f>'11_Clean_Google'!F63</f>
        <v>30.79</v>
      </c>
      <c r="G163" s="8">
        <f>'11_Clean_Google'!G63</f>
        <v>8844</v>
      </c>
      <c r="H163" s="8">
        <f>'11_Clean_Google'!H63</f>
        <v>322</v>
      </c>
      <c r="I163" s="8">
        <f>'11_Clean_Google'!I63</f>
        <v>0</v>
      </c>
      <c r="J163" s="8">
        <f>'11_Clean_Google'!J63</f>
        <v>24</v>
      </c>
      <c r="K163" s="8">
        <f>'11_Clean_Google'!K63</f>
        <v>369.26</v>
      </c>
      <c r="L163">
        <f t="shared" si="10"/>
        <v>3.6408864767073723E-2</v>
      </c>
      <c r="M163" s="3">
        <f t="shared" si="11"/>
        <v>7.4534161490683232E-2</v>
      </c>
      <c r="N163" s="3">
        <f t="shared" si="12"/>
        <v>9.562111801242236E-2</v>
      </c>
      <c r="O163" s="3">
        <f t="shared" si="13"/>
        <v>1.2829166666666667</v>
      </c>
      <c r="P163">
        <f t="shared" si="14"/>
        <v>11.992854822994479</v>
      </c>
    </row>
    <row r="164" spans="1:16">
      <c r="A164" s="4">
        <f>'11_Clean_Google'!A64</f>
        <v>46025</v>
      </c>
      <c r="B164" s="4" t="str">
        <f>'11_Clean_Google'!B64</f>
        <v>Google</v>
      </c>
      <c r="C164" s="4" t="str">
        <f>'11_Clean_Google'!C64</f>
        <v>Search_Brand</v>
      </c>
      <c r="D164" s="4" t="str">
        <f>'11_Clean_Google'!D64</f>
        <v>Group_1</v>
      </c>
      <c r="E164" s="4" t="str">
        <f>'11_Clean_Google'!E64</f>
        <v>Headline_A</v>
      </c>
      <c r="F164" s="8">
        <f>'11_Clean_Google'!F64</f>
        <v>110.23</v>
      </c>
      <c r="G164" s="8">
        <f>'11_Clean_Google'!G64</f>
        <v>14649</v>
      </c>
      <c r="H164" s="8">
        <f>'11_Clean_Google'!H64</f>
        <v>694</v>
      </c>
      <c r="I164" s="8">
        <f>'11_Clean_Google'!I64</f>
        <v>0</v>
      </c>
      <c r="J164" s="8">
        <f>'11_Clean_Google'!J64</f>
        <v>19</v>
      </c>
      <c r="K164" s="8">
        <f>'11_Clean_Google'!K64</f>
        <v>209.45</v>
      </c>
      <c r="L164">
        <f t="shared" si="10"/>
        <v>4.7375247457164309E-2</v>
      </c>
      <c r="M164" s="3">
        <f t="shared" si="11"/>
        <v>2.7377521613832854E-2</v>
      </c>
      <c r="N164" s="3">
        <f t="shared" si="12"/>
        <v>0.15883285302593661</v>
      </c>
      <c r="O164" s="3">
        <f t="shared" si="13"/>
        <v>5.8015789473684212</v>
      </c>
      <c r="P164">
        <f t="shared" si="14"/>
        <v>1.9001179352263446</v>
      </c>
    </row>
    <row r="165" spans="1:16">
      <c r="A165" s="4">
        <f>'11_Clean_Google'!A65</f>
        <v>46026</v>
      </c>
      <c r="B165" s="4" t="str">
        <f>'11_Clean_Google'!B65</f>
        <v>Google</v>
      </c>
      <c r="C165" s="4" t="str">
        <f>'11_Clean_Google'!C65</f>
        <v>Search_Generic</v>
      </c>
      <c r="D165" s="4" t="str">
        <f>'11_Clean_Google'!D65</f>
        <v>Group_2</v>
      </c>
      <c r="E165" s="4" t="str">
        <f>'11_Clean_Google'!E65</f>
        <v>Headline_A</v>
      </c>
      <c r="F165" s="8">
        <f>'11_Clean_Google'!F65</f>
        <v>131.9</v>
      </c>
      <c r="G165" s="8">
        <f>'11_Clean_Google'!G65</f>
        <v>9038</v>
      </c>
      <c r="H165" s="8">
        <f>'11_Clean_Google'!H65</f>
        <v>461</v>
      </c>
      <c r="I165" s="8">
        <f>'11_Clean_Google'!I65</f>
        <v>0</v>
      </c>
      <c r="J165" s="8">
        <f>'11_Clean_Google'!J65</f>
        <v>16</v>
      </c>
      <c r="K165" s="8">
        <f>'11_Clean_Google'!K65</f>
        <v>298.19</v>
      </c>
      <c r="L165">
        <f t="shared" si="10"/>
        <v>5.1006859924762116E-2</v>
      </c>
      <c r="M165" s="3">
        <f t="shared" si="11"/>
        <v>3.4707158351409979E-2</v>
      </c>
      <c r="N165" s="3">
        <f t="shared" si="12"/>
        <v>0.286117136659436</v>
      </c>
      <c r="O165" s="3">
        <f t="shared" si="13"/>
        <v>8.2437500000000004</v>
      </c>
      <c r="P165">
        <f t="shared" si="14"/>
        <v>2.2607278241091735</v>
      </c>
    </row>
    <row r="166" spans="1:16">
      <c r="A166" s="4">
        <f>'11_Clean_Google'!A66</f>
        <v>46027</v>
      </c>
      <c r="B166" s="4" t="str">
        <f>'11_Clean_Google'!B66</f>
        <v>Google</v>
      </c>
      <c r="C166" s="4" t="str">
        <f>'11_Clean_Google'!C66</f>
        <v>Search_Generic</v>
      </c>
      <c r="D166" s="4" t="str">
        <f>'11_Clean_Google'!D66</f>
        <v>Group_2</v>
      </c>
      <c r="E166" s="4" t="str">
        <f>'11_Clean_Google'!E66</f>
        <v>Headline_A</v>
      </c>
      <c r="F166" s="8">
        <f>'11_Clean_Google'!F66</f>
        <v>184.25</v>
      </c>
      <c r="G166" s="8">
        <f>'11_Clean_Google'!G66</f>
        <v>12351</v>
      </c>
      <c r="H166" s="8">
        <f>'11_Clean_Google'!H66</f>
        <v>734</v>
      </c>
      <c r="I166" s="8">
        <f>'11_Clean_Google'!I66</f>
        <v>0</v>
      </c>
      <c r="J166" s="8">
        <f>'11_Clean_Google'!J66</f>
        <v>28</v>
      </c>
      <c r="K166" s="8">
        <f>'11_Clean_Google'!K66</f>
        <v>724.24</v>
      </c>
      <c r="L166">
        <f t="shared" si="10"/>
        <v>5.9428386365476482E-2</v>
      </c>
      <c r="M166" s="3">
        <f t="shared" si="11"/>
        <v>3.8147138964577658E-2</v>
      </c>
      <c r="N166" s="3">
        <f t="shared" si="12"/>
        <v>0.25102179836512262</v>
      </c>
      <c r="O166" s="3">
        <f t="shared" si="13"/>
        <v>6.5803571428571432</v>
      </c>
      <c r="P166">
        <f t="shared" si="14"/>
        <v>3.9307462686567165</v>
      </c>
    </row>
    <row r="167" spans="1:16">
      <c r="A167" s="4">
        <f>'11_Clean_Google'!A67</f>
        <v>46028</v>
      </c>
      <c r="B167" s="4" t="str">
        <f>'11_Clean_Google'!B67</f>
        <v>Google</v>
      </c>
      <c r="C167" s="4" t="str">
        <f>'11_Clean_Google'!C67</f>
        <v>PMax</v>
      </c>
      <c r="D167" s="4" t="str">
        <f>'11_Clean_Google'!D67</f>
        <v>Group_1</v>
      </c>
      <c r="E167" s="4" t="str">
        <f>'11_Clean_Google'!E67</f>
        <v>Headline_B</v>
      </c>
      <c r="F167" s="8">
        <f>'11_Clean_Google'!F67</f>
        <v>40.049999999999997</v>
      </c>
      <c r="G167" s="8">
        <f>'11_Clean_Google'!G67</f>
        <v>5673</v>
      </c>
      <c r="H167" s="8">
        <f>'11_Clean_Google'!H67</f>
        <v>614</v>
      </c>
      <c r="I167" s="8">
        <f>'11_Clean_Google'!I67</f>
        <v>0</v>
      </c>
      <c r="J167" s="8">
        <f>'11_Clean_Google'!J67</f>
        <v>33</v>
      </c>
      <c r="K167" s="8">
        <f>'11_Clean_Google'!K67</f>
        <v>833.1</v>
      </c>
      <c r="L167">
        <f t="shared" si="10"/>
        <v>0.10823197602679359</v>
      </c>
      <c r="M167" s="3">
        <f t="shared" si="11"/>
        <v>5.3745928338762218E-2</v>
      </c>
      <c r="N167" s="3">
        <f t="shared" si="12"/>
        <v>6.5228013029315954E-2</v>
      </c>
      <c r="O167" s="3">
        <f t="shared" si="13"/>
        <v>1.2136363636363636</v>
      </c>
      <c r="P167">
        <f t="shared" si="14"/>
        <v>20.801498127340825</v>
      </c>
    </row>
    <row r="168" spans="1:16">
      <c r="A168" s="4">
        <f>'11_Clean_Google'!A68</f>
        <v>46029</v>
      </c>
      <c r="B168" s="4" t="str">
        <f>'11_Clean_Google'!B68</f>
        <v>Google</v>
      </c>
      <c r="C168" s="4" t="str">
        <f>'11_Clean_Google'!C68</f>
        <v>Search_Brand</v>
      </c>
      <c r="D168" s="4" t="str">
        <f>'11_Clean_Google'!D68</f>
        <v>Group_1</v>
      </c>
      <c r="E168" s="4" t="str">
        <f>'11_Clean_Google'!E68</f>
        <v>Headline_C</v>
      </c>
      <c r="F168" s="8">
        <f>'11_Clean_Google'!F68</f>
        <v>47.9</v>
      </c>
      <c r="G168" s="8">
        <f>'11_Clean_Google'!G68</f>
        <v>14127</v>
      </c>
      <c r="H168" s="8">
        <f>'11_Clean_Google'!H68</f>
        <v>428</v>
      </c>
      <c r="I168" s="8">
        <f>'11_Clean_Google'!I68</f>
        <v>0</v>
      </c>
      <c r="J168" s="8">
        <f>'11_Clean_Google'!J68</f>
        <v>13</v>
      </c>
      <c r="K168" s="8">
        <f>'11_Clean_Google'!K68</f>
        <v>105.36</v>
      </c>
      <c r="L168">
        <f t="shared" si="10"/>
        <v>3.0296595172364976E-2</v>
      </c>
      <c r="M168" s="3">
        <f t="shared" si="11"/>
        <v>3.0373831775700934E-2</v>
      </c>
      <c r="N168" s="3">
        <f t="shared" si="12"/>
        <v>0.11191588785046729</v>
      </c>
      <c r="O168" s="3">
        <f t="shared" si="13"/>
        <v>3.6846153846153844</v>
      </c>
      <c r="P168">
        <f t="shared" si="14"/>
        <v>2.1995824634655534</v>
      </c>
    </row>
    <row r="169" spans="1:16">
      <c r="A169" s="4">
        <f>'11_Clean_Google'!A69</f>
        <v>46030</v>
      </c>
      <c r="B169" s="4" t="str">
        <f>'11_Clean_Google'!B69</f>
        <v>Google</v>
      </c>
      <c r="C169" s="4" t="str">
        <f>'11_Clean_Google'!C69</f>
        <v>Search_Brand</v>
      </c>
      <c r="D169" s="4" t="str">
        <f>'11_Clean_Google'!D69</f>
        <v>Group_3</v>
      </c>
      <c r="E169" s="4" t="str">
        <f>'11_Clean_Google'!E69</f>
        <v>Headline_B</v>
      </c>
      <c r="F169" s="8">
        <f>'11_Clean_Google'!F69</f>
        <v>76.97</v>
      </c>
      <c r="G169" s="8">
        <f>'11_Clean_Google'!G69</f>
        <v>5606</v>
      </c>
      <c r="H169" s="8">
        <f>'11_Clean_Google'!H69</f>
        <v>846</v>
      </c>
      <c r="I169" s="8">
        <f>'11_Clean_Google'!I69</f>
        <v>0</v>
      </c>
      <c r="J169" s="8">
        <f>'11_Clean_Google'!J69</f>
        <v>25</v>
      </c>
      <c r="K169" s="8">
        <f>'11_Clean_Google'!K69</f>
        <v>1211.45</v>
      </c>
      <c r="L169">
        <f t="shared" si="10"/>
        <v>0.15090973956475204</v>
      </c>
      <c r="M169" s="3">
        <f t="shared" si="11"/>
        <v>2.955082742316785E-2</v>
      </c>
      <c r="N169" s="3">
        <f t="shared" si="12"/>
        <v>9.0981087470449168E-2</v>
      </c>
      <c r="O169" s="3">
        <f t="shared" si="13"/>
        <v>3.0787999999999998</v>
      </c>
      <c r="P169">
        <f t="shared" si="14"/>
        <v>15.739249058074575</v>
      </c>
    </row>
    <row r="170" spans="1:16">
      <c r="A170" s="4">
        <f>'11_Clean_Google'!A70</f>
        <v>46031</v>
      </c>
      <c r="B170" s="4" t="str">
        <f>'11_Clean_Google'!B70</f>
        <v>Google</v>
      </c>
      <c r="C170" s="4" t="str">
        <f>'11_Clean_Google'!C70</f>
        <v>Search_Brand</v>
      </c>
      <c r="D170" s="4" t="str">
        <f>'11_Clean_Google'!D70</f>
        <v>Group_3</v>
      </c>
      <c r="E170" s="4" t="str">
        <f>'11_Clean_Google'!E70</f>
        <v>Headline_A</v>
      </c>
      <c r="F170" s="8">
        <f>'11_Clean_Google'!F70</f>
        <v>77.63</v>
      </c>
      <c r="G170" s="8">
        <f>'11_Clean_Google'!G70</f>
        <v>9392</v>
      </c>
      <c r="H170" s="8">
        <f>'11_Clean_Google'!H70</f>
        <v>373</v>
      </c>
      <c r="I170" s="8">
        <f>'11_Clean_Google'!I70</f>
        <v>0</v>
      </c>
      <c r="J170" s="8">
        <f>'11_Clean_Google'!J70</f>
        <v>36</v>
      </c>
      <c r="K170" s="8">
        <f>'11_Clean_Google'!K70</f>
        <v>497.72</v>
      </c>
      <c r="L170">
        <f t="shared" si="10"/>
        <v>3.9714650766609884E-2</v>
      </c>
      <c r="M170" s="3">
        <f t="shared" si="11"/>
        <v>9.6514745308310987E-2</v>
      </c>
      <c r="N170" s="3">
        <f t="shared" si="12"/>
        <v>0.20812332439678283</v>
      </c>
      <c r="O170" s="3">
        <f t="shared" si="13"/>
        <v>2.1563888888888889</v>
      </c>
      <c r="P170">
        <f t="shared" si="14"/>
        <v>6.4114388767229169</v>
      </c>
    </row>
    <row r="171" spans="1:16">
      <c r="A171" s="4">
        <f>'11_Clean_Google'!A71</f>
        <v>46032</v>
      </c>
      <c r="B171" s="4" t="str">
        <f>'11_Clean_Google'!B71</f>
        <v>Google</v>
      </c>
      <c r="C171" s="4" t="str">
        <f>'11_Clean_Google'!C71</f>
        <v>PMax</v>
      </c>
      <c r="D171" s="4" t="str">
        <f>'11_Clean_Google'!D71</f>
        <v>Group_1</v>
      </c>
      <c r="E171" s="4" t="str">
        <f>'11_Clean_Google'!E71</f>
        <v>Headline_B</v>
      </c>
      <c r="F171" s="8">
        <f>'11_Clean_Google'!F71</f>
        <v>187.06</v>
      </c>
      <c r="G171" s="8">
        <f>'11_Clean_Google'!G71</f>
        <v>12982</v>
      </c>
      <c r="H171" s="8">
        <f>'11_Clean_Google'!H71</f>
        <v>169</v>
      </c>
      <c r="I171" s="8">
        <f>'11_Clean_Google'!I71</f>
        <v>0</v>
      </c>
      <c r="J171" s="8">
        <f>'11_Clean_Google'!J71</f>
        <v>27</v>
      </c>
      <c r="K171" s="8">
        <f>'11_Clean_Google'!K71</f>
        <v>1374.81</v>
      </c>
      <c r="L171">
        <f t="shared" si="10"/>
        <v>1.3018024957633647E-2</v>
      </c>
      <c r="M171" s="3">
        <f t="shared" si="11"/>
        <v>0.15976331360946747</v>
      </c>
      <c r="N171" s="3">
        <f t="shared" si="12"/>
        <v>1.1068639053254439</v>
      </c>
      <c r="O171" s="3">
        <f t="shared" si="13"/>
        <v>6.9281481481481482</v>
      </c>
      <c r="P171">
        <f t="shared" si="14"/>
        <v>7.3495669838554472</v>
      </c>
    </row>
    <row r="172" spans="1:16">
      <c r="A172" s="4">
        <f>'11_Clean_Google'!A72</f>
        <v>46033</v>
      </c>
      <c r="B172" s="4" t="str">
        <f>'11_Clean_Google'!B72</f>
        <v>Google</v>
      </c>
      <c r="C172" s="4" t="str">
        <f>'11_Clean_Google'!C72</f>
        <v>PMax</v>
      </c>
      <c r="D172" s="4" t="str">
        <f>'11_Clean_Google'!D72</f>
        <v>Group_1</v>
      </c>
      <c r="E172" s="4" t="str">
        <f>'11_Clean_Google'!E72</f>
        <v>Headline_C</v>
      </c>
      <c r="F172" s="8">
        <f>'11_Clean_Google'!F72</f>
        <v>73.92</v>
      </c>
      <c r="G172" s="8">
        <f>'11_Clean_Google'!G72</f>
        <v>6713</v>
      </c>
      <c r="H172" s="8">
        <f>'11_Clean_Google'!H72</f>
        <v>216</v>
      </c>
      <c r="I172" s="8">
        <f>'11_Clean_Google'!I72</f>
        <v>0</v>
      </c>
      <c r="J172" s="8">
        <f>'11_Clean_Google'!J72</f>
        <v>38</v>
      </c>
      <c r="K172" s="8">
        <f>'11_Clean_Google'!K72</f>
        <v>1453.87</v>
      </c>
      <c r="L172">
        <f t="shared" si="10"/>
        <v>3.217637419931476E-2</v>
      </c>
      <c r="M172" s="3">
        <f t="shared" si="11"/>
        <v>0.17592592592592593</v>
      </c>
      <c r="N172" s="3">
        <f t="shared" si="12"/>
        <v>0.34222222222222221</v>
      </c>
      <c r="O172" s="3">
        <f t="shared" si="13"/>
        <v>1.9452631578947368</v>
      </c>
      <c r="P172">
        <f t="shared" si="14"/>
        <v>19.668154761904759</v>
      </c>
    </row>
    <row r="173" spans="1:16">
      <c r="A173" s="4">
        <f>'11_Clean_Google'!A73</f>
        <v>46034</v>
      </c>
      <c r="B173" s="4" t="str">
        <f>'11_Clean_Google'!B73</f>
        <v>Google</v>
      </c>
      <c r="C173" s="4" t="str">
        <f>'11_Clean_Google'!C73</f>
        <v>Search_Generic</v>
      </c>
      <c r="D173" s="4" t="str">
        <f>'11_Clean_Google'!D73</f>
        <v>Group_3</v>
      </c>
      <c r="E173" s="4" t="str">
        <f>'11_Clean_Google'!E73</f>
        <v>Headline_C</v>
      </c>
      <c r="F173" s="8">
        <f>'11_Clean_Google'!F73</f>
        <v>163.78</v>
      </c>
      <c r="G173" s="8">
        <f>'11_Clean_Google'!G73</f>
        <v>7924</v>
      </c>
      <c r="H173" s="8">
        <f>'11_Clean_Google'!H73</f>
        <v>834</v>
      </c>
      <c r="I173" s="8">
        <f>'11_Clean_Google'!I73</f>
        <v>0</v>
      </c>
      <c r="J173" s="8">
        <f>'11_Clean_Google'!J73</f>
        <v>7</v>
      </c>
      <c r="K173" s="8">
        <f>'11_Clean_Google'!K73</f>
        <v>343.35</v>
      </c>
      <c r="L173">
        <f t="shared" si="10"/>
        <v>0.10524987380111055</v>
      </c>
      <c r="M173" s="3">
        <f t="shared" si="11"/>
        <v>8.3932853717026377E-3</v>
      </c>
      <c r="N173" s="3">
        <f t="shared" si="12"/>
        <v>0.19637889688249402</v>
      </c>
      <c r="O173" s="3">
        <f t="shared" si="13"/>
        <v>23.397142857142857</v>
      </c>
      <c r="P173">
        <f t="shared" si="14"/>
        <v>2.0964098180486017</v>
      </c>
    </row>
    <row r="174" spans="1:16">
      <c r="A174" s="4">
        <f>'11_Clean_Google'!A74</f>
        <v>46035</v>
      </c>
      <c r="B174" s="4" t="str">
        <f>'11_Clean_Google'!B74</f>
        <v>Google</v>
      </c>
      <c r="C174" s="4" t="str">
        <f>'11_Clean_Google'!C74</f>
        <v>Search_Generic</v>
      </c>
      <c r="D174" s="4" t="str">
        <f>'11_Clean_Google'!D74</f>
        <v>Group_2</v>
      </c>
      <c r="E174" s="4" t="str">
        <f>'11_Clean_Google'!E74</f>
        <v>Headline_B</v>
      </c>
      <c r="F174" s="8">
        <f>'11_Clean_Google'!F74</f>
        <v>131.15</v>
      </c>
      <c r="G174" s="8">
        <f>'11_Clean_Google'!G74</f>
        <v>3957</v>
      </c>
      <c r="H174" s="8">
        <f>'11_Clean_Google'!H74</f>
        <v>90</v>
      </c>
      <c r="I174" s="8">
        <f>'11_Clean_Google'!I74</f>
        <v>0</v>
      </c>
      <c r="J174" s="8">
        <f>'11_Clean_Google'!J74</f>
        <v>5</v>
      </c>
      <c r="K174" s="8">
        <f>'11_Clean_Google'!K74</f>
        <v>736.18</v>
      </c>
      <c r="L174">
        <f t="shared" si="10"/>
        <v>2.2744503411675512E-2</v>
      </c>
      <c r="M174" s="3">
        <f t="shared" si="11"/>
        <v>5.5555555555555552E-2</v>
      </c>
      <c r="N174" s="3">
        <f t="shared" si="12"/>
        <v>1.4572222222222222</v>
      </c>
      <c r="O174" s="3">
        <f t="shared" si="13"/>
        <v>26.23</v>
      </c>
      <c r="P174">
        <f t="shared" si="14"/>
        <v>5.6132672512390389</v>
      </c>
    </row>
    <row r="175" spans="1:16">
      <c r="A175" s="4">
        <f>'11_Clean_Google'!A75</f>
        <v>46036</v>
      </c>
      <c r="B175" s="4" t="str">
        <f>'11_Clean_Google'!B75</f>
        <v>Google</v>
      </c>
      <c r="C175" s="4" t="str">
        <f>'11_Clean_Google'!C75</f>
        <v>Search_Generic</v>
      </c>
      <c r="D175" s="4" t="str">
        <f>'11_Clean_Google'!D75</f>
        <v>Group_1</v>
      </c>
      <c r="E175" s="4" t="str">
        <f>'11_Clean_Google'!E75</f>
        <v>Headline_B</v>
      </c>
      <c r="F175" s="8">
        <f>'11_Clean_Google'!F75</f>
        <v>149.72</v>
      </c>
      <c r="G175" s="8">
        <f>'11_Clean_Google'!G75</f>
        <v>13337</v>
      </c>
      <c r="H175" s="8">
        <f>'11_Clean_Google'!H75</f>
        <v>409</v>
      </c>
      <c r="I175" s="8">
        <f>'11_Clean_Google'!I75</f>
        <v>0</v>
      </c>
      <c r="J175" s="8">
        <f>'11_Clean_Google'!J75</f>
        <v>31</v>
      </c>
      <c r="K175" s="8">
        <f>'11_Clean_Google'!K75</f>
        <v>81.75</v>
      </c>
      <c r="L175">
        <f t="shared" si="10"/>
        <v>3.0666566694159108E-2</v>
      </c>
      <c r="M175" s="3">
        <f t="shared" si="11"/>
        <v>7.5794621026894868E-2</v>
      </c>
      <c r="N175" s="3">
        <f t="shared" si="12"/>
        <v>0.36606356968215159</v>
      </c>
      <c r="O175" s="3">
        <f t="shared" si="13"/>
        <v>4.8296774193548391</v>
      </c>
      <c r="P175">
        <f t="shared" si="14"/>
        <v>0.5460192359070265</v>
      </c>
    </row>
    <row r="176" spans="1:16">
      <c r="A176" s="4">
        <f>'11_Clean_Google'!A76</f>
        <v>46037</v>
      </c>
      <c r="B176" s="4" t="str">
        <f>'11_Clean_Google'!B76</f>
        <v>Google</v>
      </c>
      <c r="C176" s="4" t="str">
        <f>'11_Clean_Google'!C76</f>
        <v>Search_Brand</v>
      </c>
      <c r="D176" s="4" t="str">
        <f>'11_Clean_Google'!D76</f>
        <v>Group_3</v>
      </c>
      <c r="E176" s="4" t="str">
        <f>'11_Clean_Google'!E76</f>
        <v>Headline_B</v>
      </c>
      <c r="F176" s="8">
        <f>'11_Clean_Google'!F76</f>
        <v>211.96</v>
      </c>
      <c r="G176" s="8">
        <f>'11_Clean_Google'!G76</f>
        <v>1190</v>
      </c>
      <c r="H176" s="8">
        <f>'11_Clean_Google'!H76</f>
        <v>739</v>
      </c>
      <c r="I176" s="8">
        <f>'11_Clean_Google'!I76</f>
        <v>0</v>
      </c>
      <c r="J176" s="8">
        <f>'11_Clean_Google'!J76</f>
        <v>23</v>
      </c>
      <c r="K176" s="8">
        <f>'11_Clean_Google'!K76</f>
        <v>929.62</v>
      </c>
      <c r="L176">
        <f t="shared" si="10"/>
        <v>0.62100840336134455</v>
      </c>
      <c r="M176" s="3">
        <f t="shared" si="11"/>
        <v>3.1123139377537211E-2</v>
      </c>
      <c r="N176" s="3">
        <f t="shared" si="12"/>
        <v>0.28682002706359949</v>
      </c>
      <c r="O176" s="3">
        <f t="shared" si="13"/>
        <v>9.2156521739130444</v>
      </c>
      <c r="P176">
        <f t="shared" si="14"/>
        <v>4.3858275146254009</v>
      </c>
    </row>
    <row r="177" spans="1:16">
      <c r="A177" s="4">
        <f>'11_Clean_Google'!A77</f>
        <v>46038</v>
      </c>
      <c r="B177" s="4" t="str">
        <f>'11_Clean_Google'!B77</f>
        <v>Google</v>
      </c>
      <c r="C177" s="4" t="str">
        <f>'11_Clean_Google'!C77</f>
        <v>Search_Brand</v>
      </c>
      <c r="D177" s="4" t="str">
        <f>'11_Clean_Google'!D77</f>
        <v>Group_2</v>
      </c>
      <c r="E177" s="4" t="str">
        <f>'11_Clean_Google'!E77</f>
        <v>Headline_A</v>
      </c>
      <c r="F177" s="8">
        <f>'11_Clean_Google'!F77</f>
        <v>110.03</v>
      </c>
      <c r="G177" s="8">
        <f>'11_Clean_Google'!G77</f>
        <v>12845</v>
      </c>
      <c r="H177" s="8">
        <f>'11_Clean_Google'!H77</f>
        <v>836</v>
      </c>
      <c r="I177" s="8">
        <f>'11_Clean_Google'!I77</f>
        <v>0</v>
      </c>
      <c r="J177" s="8">
        <f>'11_Clean_Google'!J77</f>
        <v>10</v>
      </c>
      <c r="K177" s="8">
        <f>'11_Clean_Google'!K77</f>
        <v>942.38</v>
      </c>
      <c r="L177">
        <f t="shared" si="10"/>
        <v>6.5083690151810036E-2</v>
      </c>
      <c r="M177" s="3">
        <f t="shared" si="11"/>
        <v>1.1961722488038277E-2</v>
      </c>
      <c r="N177" s="3">
        <f t="shared" si="12"/>
        <v>0.13161483253588516</v>
      </c>
      <c r="O177" s="3">
        <f t="shared" si="13"/>
        <v>11.003</v>
      </c>
      <c r="P177">
        <f t="shared" si="14"/>
        <v>8.5647550667999628</v>
      </c>
    </row>
    <row r="178" spans="1:16">
      <c r="A178" s="4">
        <f>'11_Clean_Google'!A78</f>
        <v>46039</v>
      </c>
      <c r="B178" s="4" t="str">
        <f>'11_Clean_Google'!B78</f>
        <v>Google</v>
      </c>
      <c r="C178" s="4" t="str">
        <f>'11_Clean_Google'!C78</f>
        <v>Search_Generic</v>
      </c>
      <c r="D178" s="4" t="str">
        <f>'11_Clean_Google'!D78</f>
        <v>Group_1</v>
      </c>
      <c r="E178" s="4" t="str">
        <f>'11_Clean_Google'!E78</f>
        <v>Headline_B</v>
      </c>
      <c r="F178" s="8">
        <f>'11_Clean_Google'!F78</f>
        <v>196.16</v>
      </c>
      <c r="G178" s="8">
        <f>'11_Clean_Google'!G78</f>
        <v>5230</v>
      </c>
      <c r="H178" s="8">
        <f>'11_Clean_Google'!H78</f>
        <v>469</v>
      </c>
      <c r="I178" s="8">
        <f>'11_Clean_Google'!I78</f>
        <v>0</v>
      </c>
      <c r="J178" s="8">
        <f>'11_Clean_Google'!J78</f>
        <v>32</v>
      </c>
      <c r="K178" s="8">
        <f>'11_Clean_Google'!K78</f>
        <v>431.51</v>
      </c>
      <c r="L178">
        <f t="shared" si="10"/>
        <v>8.967495219885277E-2</v>
      </c>
      <c r="M178" s="3">
        <f t="shared" si="11"/>
        <v>6.8230277185501065E-2</v>
      </c>
      <c r="N178" s="3">
        <f t="shared" si="12"/>
        <v>0.41825159914712151</v>
      </c>
      <c r="O178" s="3">
        <f t="shared" si="13"/>
        <v>6.13</v>
      </c>
      <c r="P178">
        <f t="shared" si="14"/>
        <v>2.1997858890701467</v>
      </c>
    </row>
    <row r="179" spans="1:16">
      <c r="A179" s="4">
        <f>'11_Clean_Google'!A79</f>
        <v>46040</v>
      </c>
      <c r="B179" s="4" t="str">
        <f>'11_Clean_Google'!B79</f>
        <v>Google</v>
      </c>
      <c r="C179" s="4" t="str">
        <f>'11_Clean_Google'!C79</f>
        <v>Search_Brand</v>
      </c>
      <c r="D179" s="4" t="str">
        <f>'11_Clean_Google'!D79</f>
        <v>Group_2</v>
      </c>
      <c r="E179" s="4" t="str">
        <f>'11_Clean_Google'!E79</f>
        <v>Headline_B</v>
      </c>
      <c r="F179" s="8">
        <f>'11_Clean_Google'!F79</f>
        <v>114.18</v>
      </c>
      <c r="G179" s="8">
        <f>'11_Clean_Google'!G79</f>
        <v>9620</v>
      </c>
      <c r="H179" s="8">
        <f>'11_Clean_Google'!H79</f>
        <v>348</v>
      </c>
      <c r="I179" s="8">
        <f>'11_Clean_Google'!I79</f>
        <v>0</v>
      </c>
      <c r="J179" s="8">
        <f>'11_Clean_Google'!J79</f>
        <v>30</v>
      </c>
      <c r="K179" s="8">
        <f>'11_Clean_Google'!K79</f>
        <v>872.95</v>
      </c>
      <c r="L179">
        <f t="shared" si="10"/>
        <v>3.6174636174636177E-2</v>
      </c>
      <c r="M179" s="3">
        <f t="shared" si="11"/>
        <v>8.6206896551724144E-2</v>
      </c>
      <c r="N179" s="3">
        <f t="shared" si="12"/>
        <v>0.32810344827586208</v>
      </c>
      <c r="O179" s="3">
        <f t="shared" si="13"/>
        <v>3.806</v>
      </c>
      <c r="P179">
        <f t="shared" si="14"/>
        <v>7.6453844806445961</v>
      </c>
    </row>
    <row r="180" spans="1:16">
      <c r="A180" s="4">
        <f>'11_Clean_Google'!A80</f>
        <v>46041</v>
      </c>
      <c r="B180" s="4" t="str">
        <f>'11_Clean_Google'!B80</f>
        <v>Google</v>
      </c>
      <c r="C180" s="4" t="str">
        <f>'11_Clean_Google'!C80</f>
        <v>Search_Generic</v>
      </c>
      <c r="D180" s="4" t="str">
        <f>'11_Clean_Google'!D80</f>
        <v>Group_3</v>
      </c>
      <c r="E180" s="4" t="str">
        <f>'11_Clean_Google'!E80</f>
        <v>Headline_B</v>
      </c>
      <c r="F180" s="8">
        <f>'11_Clean_Google'!F80</f>
        <v>98.16</v>
      </c>
      <c r="G180" s="8">
        <f>'11_Clean_Google'!G80</f>
        <v>8486</v>
      </c>
      <c r="H180" s="8">
        <f>'11_Clean_Google'!H80</f>
        <v>331</v>
      </c>
      <c r="I180" s="8">
        <f>'11_Clean_Google'!I80</f>
        <v>0</v>
      </c>
      <c r="J180" s="8">
        <f>'11_Clean_Google'!J80</f>
        <v>39</v>
      </c>
      <c r="K180" s="8">
        <f>'11_Clean_Google'!K80</f>
        <v>400.27</v>
      </c>
      <c r="L180">
        <f t="shared" si="10"/>
        <v>3.9005420692905961E-2</v>
      </c>
      <c r="M180" s="3">
        <f t="shared" si="11"/>
        <v>0.11782477341389729</v>
      </c>
      <c r="N180" s="3">
        <f t="shared" si="12"/>
        <v>0.29655589123867071</v>
      </c>
      <c r="O180" s="3">
        <f t="shared" si="13"/>
        <v>2.516923076923077</v>
      </c>
      <c r="P180">
        <f t="shared" si="14"/>
        <v>4.0777302363488186</v>
      </c>
    </row>
    <row r="181" spans="1:16">
      <c r="A181" s="4">
        <f>'11_Clean_Google'!A81</f>
        <v>46042</v>
      </c>
      <c r="B181" s="4" t="str">
        <f>'11_Clean_Google'!B81</f>
        <v>Google</v>
      </c>
      <c r="C181" s="4" t="str">
        <f>'11_Clean_Google'!C81</f>
        <v>PMax</v>
      </c>
      <c r="D181" s="4" t="str">
        <f>'11_Clean_Google'!D81</f>
        <v>Group_1</v>
      </c>
      <c r="E181" s="4" t="str">
        <f>'11_Clean_Google'!E81</f>
        <v>Headline_C</v>
      </c>
      <c r="F181" s="8">
        <f>'11_Clean_Google'!F81</f>
        <v>240.28</v>
      </c>
      <c r="G181" s="8">
        <f>'11_Clean_Google'!G81</f>
        <v>5032</v>
      </c>
      <c r="H181" s="8">
        <f>'11_Clean_Google'!H81</f>
        <v>373</v>
      </c>
      <c r="I181" s="8">
        <f>'11_Clean_Google'!I81</f>
        <v>0</v>
      </c>
      <c r="J181" s="8">
        <f>'11_Clean_Google'!J81</f>
        <v>31</v>
      </c>
      <c r="K181" s="8">
        <f>'11_Clean_Google'!K81</f>
        <v>308.37</v>
      </c>
      <c r="L181">
        <f t="shared" si="10"/>
        <v>7.4125596184419718E-2</v>
      </c>
      <c r="M181" s="3">
        <f t="shared" si="11"/>
        <v>8.3109919571045576E-2</v>
      </c>
      <c r="N181" s="3">
        <f t="shared" si="12"/>
        <v>0.64418230563002676</v>
      </c>
      <c r="O181" s="3">
        <f t="shared" si="13"/>
        <v>7.7509677419354839</v>
      </c>
      <c r="P181">
        <f t="shared" si="14"/>
        <v>1.2833777259863492</v>
      </c>
    </row>
    <row r="182" spans="1:16">
      <c r="A182" s="4">
        <f>'11_Clean_Google'!A82</f>
        <v>46043</v>
      </c>
      <c r="B182" s="4" t="str">
        <f>'11_Clean_Google'!B82</f>
        <v>Google</v>
      </c>
      <c r="C182" s="4" t="str">
        <f>'11_Clean_Google'!C82</f>
        <v>Search_Generic</v>
      </c>
      <c r="D182" s="4" t="str">
        <f>'11_Clean_Google'!D82</f>
        <v>Group_2</v>
      </c>
      <c r="E182" s="4" t="str">
        <f>'11_Clean_Google'!E82</f>
        <v>Headline_C</v>
      </c>
      <c r="F182" s="8">
        <f>'11_Clean_Google'!F82</f>
        <v>58.33</v>
      </c>
      <c r="G182" s="8">
        <f>'11_Clean_Google'!G82</f>
        <v>11922</v>
      </c>
      <c r="H182" s="8">
        <f>'11_Clean_Google'!H82</f>
        <v>40</v>
      </c>
      <c r="I182" s="8">
        <f>'11_Clean_Google'!I82</f>
        <v>0</v>
      </c>
      <c r="J182" s="8">
        <f>'11_Clean_Google'!J82</f>
        <v>18</v>
      </c>
      <c r="K182" s="8">
        <f>'11_Clean_Google'!K82</f>
        <v>1005.16</v>
      </c>
      <c r="L182">
        <f t="shared" si="10"/>
        <v>3.3551417547391378E-3</v>
      </c>
      <c r="M182" s="3">
        <f t="shared" si="11"/>
        <v>0.45</v>
      </c>
      <c r="N182" s="3">
        <f t="shared" si="12"/>
        <v>1.45825</v>
      </c>
      <c r="O182" s="3">
        <f t="shared" si="13"/>
        <v>3.2405555555555554</v>
      </c>
      <c r="P182">
        <f t="shared" si="14"/>
        <v>17.23229898851363</v>
      </c>
    </row>
    <row r="183" spans="1:16">
      <c r="A183" s="4">
        <f>'11_Clean_Google'!A83</f>
        <v>46044</v>
      </c>
      <c r="B183" s="4" t="str">
        <f>'11_Clean_Google'!B83</f>
        <v>Google</v>
      </c>
      <c r="C183" s="4" t="str">
        <f>'11_Clean_Google'!C83</f>
        <v>PMax</v>
      </c>
      <c r="D183" s="4" t="str">
        <f>'11_Clean_Google'!D83</f>
        <v>Group_1</v>
      </c>
      <c r="E183" s="4" t="str">
        <f>'11_Clean_Google'!E83</f>
        <v>Headline_A</v>
      </c>
      <c r="F183" s="8">
        <f>'11_Clean_Google'!F83</f>
        <v>36.229999999999997</v>
      </c>
      <c r="G183" s="8">
        <f>'11_Clean_Google'!G83</f>
        <v>8807</v>
      </c>
      <c r="H183" s="8">
        <f>'11_Clean_Google'!H83</f>
        <v>91</v>
      </c>
      <c r="I183" s="8">
        <f>'11_Clean_Google'!I83</f>
        <v>0</v>
      </c>
      <c r="J183" s="8">
        <f>'11_Clean_Google'!J83</f>
        <v>36</v>
      </c>
      <c r="K183" s="8">
        <f>'11_Clean_Google'!K83</f>
        <v>542.80999999999995</v>
      </c>
      <c r="L183">
        <f t="shared" si="10"/>
        <v>1.0332689905756785E-2</v>
      </c>
      <c r="M183" s="3">
        <f t="shared" si="11"/>
        <v>0.39560439560439559</v>
      </c>
      <c r="N183" s="3">
        <f t="shared" si="12"/>
        <v>0.39813186813186807</v>
      </c>
      <c r="O183" s="3">
        <f t="shared" si="13"/>
        <v>1.0063888888888888</v>
      </c>
      <c r="P183">
        <f t="shared" si="14"/>
        <v>14.982335081424234</v>
      </c>
    </row>
    <row r="184" spans="1:16">
      <c r="A184" s="4">
        <f>'11_Clean_Google'!A84</f>
        <v>46045</v>
      </c>
      <c r="B184" s="4" t="str">
        <f>'11_Clean_Google'!B84</f>
        <v>Google</v>
      </c>
      <c r="C184" s="4" t="str">
        <f>'11_Clean_Google'!C84</f>
        <v>Search_Brand</v>
      </c>
      <c r="D184" s="4" t="str">
        <f>'11_Clean_Google'!D84</f>
        <v>Group_2</v>
      </c>
      <c r="E184" s="4" t="str">
        <f>'11_Clean_Google'!E84</f>
        <v>Headline_A</v>
      </c>
      <c r="F184" s="8">
        <f>'11_Clean_Google'!F84</f>
        <v>196.18</v>
      </c>
      <c r="G184" s="8">
        <f>'11_Clean_Google'!G84</f>
        <v>2321</v>
      </c>
      <c r="H184" s="8">
        <f>'11_Clean_Google'!H84</f>
        <v>874</v>
      </c>
      <c r="I184" s="8">
        <f>'11_Clean_Google'!I84</f>
        <v>0</v>
      </c>
      <c r="J184" s="8">
        <f>'11_Clean_Google'!J84</f>
        <v>2</v>
      </c>
      <c r="K184" s="8">
        <f>'11_Clean_Google'!K84</f>
        <v>918.17</v>
      </c>
      <c r="L184">
        <f t="shared" si="10"/>
        <v>0.37656182679879363</v>
      </c>
      <c r="M184" s="3">
        <f t="shared" si="11"/>
        <v>2.2883295194508009E-3</v>
      </c>
      <c r="N184" s="3">
        <f t="shared" si="12"/>
        <v>0.22446224256292907</v>
      </c>
      <c r="O184" s="3">
        <f t="shared" si="13"/>
        <v>98.09</v>
      </c>
      <c r="P184">
        <f t="shared" si="14"/>
        <v>4.680242634315424</v>
      </c>
    </row>
    <row r="185" spans="1:16">
      <c r="A185" s="4">
        <f>'11_Clean_Google'!A85</f>
        <v>46046</v>
      </c>
      <c r="B185" s="4" t="str">
        <f>'11_Clean_Google'!B85</f>
        <v>Google</v>
      </c>
      <c r="C185" s="4" t="str">
        <f>'11_Clean_Google'!C85</f>
        <v>Search_Generic</v>
      </c>
      <c r="D185" s="4" t="str">
        <f>'11_Clean_Google'!D85</f>
        <v>Group_3</v>
      </c>
      <c r="E185" s="4" t="str">
        <f>'11_Clean_Google'!E85</f>
        <v>Headline_C</v>
      </c>
      <c r="F185" s="8">
        <f>'11_Clean_Google'!F85</f>
        <v>31.04</v>
      </c>
      <c r="G185" s="8">
        <f>'11_Clean_Google'!G85</f>
        <v>9818</v>
      </c>
      <c r="H185" s="8">
        <f>'11_Clean_Google'!H85</f>
        <v>255</v>
      </c>
      <c r="I185" s="8">
        <f>'11_Clean_Google'!I85</f>
        <v>0</v>
      </c>
      <c r="J185" s="8">
        <f>'11_Clean_Google'!J85</f>
        <v>14</v>
      </c>
      <c r="K185" s="8">
        <f>'11_Clean_Google'!K85</f>
        <v>695.21</v>
      </c>
      <c r="L185">
        <f t="shared" si="10"/>
        <v>2.5972703198207374E-2</v>
      </c>
      <c r="M185" s="3">
        <f t="shared" si="11"/>
        <v>5.4901960784313725E-2</v>
      </c>
      <c r="N185" s="3">
        <f t="shared" si="12"/>
        <v>0.12172549019607842</v>
      </c>
      <c r="O185" s="3">
        <f t="shared" si="13"/>
        <v>2.2171428571428571</v>
      </c>
      <c r="P185">
        <f t="shared" si="14"/>
        <v>22.397229381443299</v>
      </c>
    </row>
    <row r="186" spans="1:16">
      <c r="A186" s="4">
        <f>'11_Clean_Google'!A86</f>
        <v>46047</v>
      </c>
      <c r="B186" s="4" t="str">
        <f>'11_Clean_Google'!B86</f>
        <v>Google</v>
      </c>
      <c r="C186" s="4" t="str">
        <f>'11_Clean_Google'!C86</f>
        <v>Search_Brand</v>
      </c>
      <c r="D186" s="4" t="str">
        <f>'11_Clean_Google'!D86</f>
        <v>Group_3</v>
      </c>
      <c r="E186" s="4" t="str">
        <f>'11_Clean_Google'!E86</f>
        <v>Headline_C</v>
      </c>
      <c r="F186" s="8">
        <f>'11_Clean_Google'!F86</f>
        <v>211.71</v>
      </c>
      <c r="G186" s="8">
        <f>'11_Clean_Google'!G86</f>
        <v>13814</v>
      </c>
      <c r="H186" s="8">
        <f>'11_Clean_Google'!H86</f>
        <v>182</v>
      </c>
      <c r="I186" s="8">
        <f>'11_Clean_Google'!I86</f>
        <v>0</v>
      </c>
      <c r="J186" s="8">
        <f>'11_Clean_Google'!J86</f>
        <v>13</v>
      </c>
      <c r="K186" s="8">
        <f>'11_Clean_Google'!K86</f>
        <v>1477.78</v>
      </c>
      <c r="L186">
        <f t="shared" si="10"/>
        <v>1.3175039814680758E-2</v>
      </c>
      <c r="M186" s="3">
        <f t="shared" si="11"/>
        <v>7.1428571428571425E-2</v>
      </c>
      <c r="N186" s="3">
        <f t="shared" si="12"/>
        <v>1.1632417582417582</v>
      </c>
      <c r="O186" s="3">
        <f t="shared" si="13"/>
        <v>16.285384615384615</v>
      </c>
      <c r="P186">
        <f t="shared" si="14"/>
        <v>6.9802087761560623</v>
      </c>
    </row>
    <row r="187" spans="1:16">
      <c r="A187" s="4">
        <f>'11_Clean_Google'!A87</f>
        <v>46048</v>
      </c>
      <c r="B187" s="4" t="str">
        <f>'11_Clean_Google'!B87</f>
        <v>Google</v>
      </c>
      <c r="C187" s="4" t="str">
        <f>'11_Clean_Google'!C87</f>
        <v>PMax</v>
      </c>
      <c r="D187" s="4" t="str">
        <f>'11_Clean_Google'!D87</f>
        <v>Group_1</v>
      </c>
      <c r="E187" s="4" t="str">
        <f>'11_Clean_Google'!E87</f>
        <v>Headline_C</v>
      </c>
      <c r="F187" s="8">
        <f>'11_Clean_Google'!F87</f>
        <v>117.74</v>
      </c>
      <c r="G187" s="8">
        <f>'11_Clean_Google'!G87</f>
        <v>2300</v>
      </c>
      <c r="H187" s="8">
        <f>'11_Clean_Google'!H87</f>
        <v>740</v>
      </c>
      <c r="I187" s="8">
        <f>'11_Clean_Google'!I87</f>
        <v>0</v>
      </c>
      <c r="J187" s="8">
        <f>'11_Clean_Google'!J87</f>
        <v>29</v>
      </c>
      <c r="K187" s="8">
        <f>'11_Clean_Google'!K87</f>
        <v>292.39999999999998</v>
      </c>
      <c r="L187">
        <f t="shared" si="10"/>
        <v>0.32173913043478258</v>
      </c>
      <c r="M187" s="3">
        <f t="shared" si="11"/>
        <v>3.9189189189189191E-2</v>
      </c>
      <c r="N187" s="3">
        <f t="shared" si="12"/>
        <v>0.1591081081081081</v>
      </c>
      <c r="O187" s="3">
        <f t="shared" si="13"/>
        <v>4.0599999999999996</v>
      </c>
      <c r="P187">
        <f t="shared" si="14"/>
        <v>2.483438083913708</v>
      </c>
    </row>
    <row r="188" spans="1:16">
      <c r="A188" s="4">
        <f>'11_Clean_Google'!A88</f>
        <v>46049</v>
      </c>
      <c r="B188" s="4" t="str">
        <f>'11_Clean_Google'!B88</f>
        <v>Google</v>
      </c>
      <c r="C188" s="4" t="str">
        <f>'11_Clean_Google'!C88</f>
        <v>PMax</v>
      </c>
      <c r="D188" s="4" t="str">
        <f>'11_Clean_Google'!D88</f>
        <v>Group_2</v>
      </c>
      <c r="E188" s="4" t="str">
        <f>'11_Clean_Google'!E88</f>
        <v>Headline_B</v>
      </c>
      <c r="F188" s="8">
        <f>'11_Clean_Google'!F88</f>
        <v>230.15</v>
      </c>
      <c r="G188" s="8">
        <f>'11_Clean_Google'!G88</f>
        <v>7537</v>
      </c>
      <c r="H188" s="8">
        <f>'11_Clean_Google'!H88</f>
        <v>593</v>
      </c>
      <c r="I188" s="8">
        <f>'11_Clean_Google'!I88</f>
        <v>0</v>
      </c>
      <c r="J188" s="8">
        <f>'11_Clean_Google'!J88</f>
        <v>12</v>
      </c>
      <c r="K188" s="8">
        <f>'11_Clean_Google'!K88</f>
        <v>739.73</v>
      </c>
      <c r="L188">
        <f t="shared" si="10"/>
        <v>7.8678519304763161E-2</v>
      </c>
      <c r="M188" s="3">
        <f t="shared" si="11"/>
        <v>2.0236087689713321E-2</v>
      </c>
      <c r="N188" s="3">
        <f t="shared" si="12"/>
        <v>0.38811129848229342</v>
      </c>
      <c r="O188" s="3">
        <f t="shared" si="13"/>
        <v>19.179166666666667</v>
      </c>
      <c r="P188">
        <f t="shared" si="14"/>
        <v>3.2141212252878559</v>
      </c>
    </row>
    <row r="189" spans="1:16">
      <c r="A189" s="4">
        <f>'11_Clean_Google'!A89</f>
        <v>46050</v>
      </c>
      <c r="B189" s="4" t="str">
        <f>'11_Clean_Google'!B89</f>
        <v>Google</v>
      </c>
      <c r="C189" s="4" t="str">
        <f>'11_Clean_Google'!C89</f>
        <v>PMax</v>
      </c>
      <c r="D189" s="4" t="str">
        <f>'11_Clean_Google'!D89</f>
        <v>Group_1</v>
      </c>
      <c r="E189" s="4" t="str">
        <f>'11_Clean_Google'!E89</f>
        <v>Headline_B</v>
      </c>
      <c r="F189" s="8">
        <f>'11_Clean_Google'!F89</f>
        <v>184.56</v>
      </c>
      <c r="G189" s="8">
        <f>'11_Clean_Google'!G89</f>
        <v>4094</v>
      </c>
      <c r="H189" s="8">
        <f>'11_Clean_Google'!H89</f>
        <v>801</v>
      </c>
      <c r="I189" s="8">
        <f>'11_Clean_Google'!I89</f>
        <v>0</v>
      </c>
      <c r="J189" s="8">
        <f>'11_Clean_Google'!J89</f>
        <v>39</v>
      </c>
      <c r="K189" s="8">
        <f>'11_Clean_Google'!K89</f>
        <v>1046.25</v>
      </c>
      <c r="L189">
        <f t="shared" si="10"/>
        <v>0.19565217391304349</v>
      </c>
      <c r="M189" s="3">
        <f t="shared" si="11"/>
        <v>4.8689138576779027E-2</v>
      </c>
      <c r="N189" s="3">
        <f t="shared" si="12"/>
        <v>0.23041198501872659</v>
      </c>
      <c r="O189" s="3">
        <f t="shared" si="13"/>
        <v>4.7323076923076925</v>
      </c>
      <c r="P189">
        <f t="shared" si="14"/>
        <v>5.6688881664499347</v>
      </c>
    </row>
    <row r="190" spans="1:16">
      <c r="A190" s="4">
        <f>'11_Clean_Google'!A90</f>
        <v>46051</v>
      </c>
      <c r="B190" s="4" t="str">
        <f>'11_Clean_Google'!B90</f>
        <v>Google</v>
      </c>
      <c r="C190" s="4" t="str">
        <f>'11_Clean_Google'!C90</f>
        <v>Search_Brand</v>
      </c>
      <c r="D190" s="4" t="str">
        <f>'11_Clean_Google'!D90</f>
        <v>Group_1</v>
      </c>
      <c r="E190" s="4" t="str">
        <f>'11_Clean_Google'!E90</f>
        <v>Headline_C</v>
      </c>
      <c r="F190" s="8">
        <f>'11_Clean_Google'!F90</f>
        <v>158.44999999999999</v>
      </c>
      <c r="G190" s="8">
        <f>'11_Clean_Google'!G90</f>
        <v>5885</v>
      </c>
      <c r="H190" s="8">
        <f>'11_Clean_Google'!H90</f>
        <v>600</v>
      </c>
      <c r="I190" s="8">
        <f>'11_Clean_Google'!I90</f>
        <v>0</v>
      </c>
      <c r="J190" s="8">
        <f>'11_Clean_Google'!J90</f>
        <v>2</v>
      </c>
      <c r="K190" s="8">
        <f>'11_Clean_Google'!K90</f>
        <v>641.66999999999996</v>
      </c>
      <c r="L190">
        <f t="shared" si="10"/>
        <v>0.10195412064570943</v>
      </c>
      <c r="M190" s="3">
        <f t="shared" si="11"/>
        <v>3.3333333333333335E-3</v>
      </c>
      <c r="N190" s="3">
        <f t="shared" si="12"/>
        <v>0.26408333333333334</v>
      </c>
      <c r="O190" s="3">
        <f t="shared" si="13"/>
        <v>79.224999999999994</v>
      </c>
      <c r="P190">
        <f t="shared" si="14"/>
        <v>4.0496686651940674</v>
      </c>
    </row>
    <row r="191" spans="1:16">
      <c r="A191" s="4">
        <f>'11_Clean_Google'!A91</f>
        <v>46052</v>
      </c>
      <c r="B191" s="4" t="str">
        <f>'11_Clean_Google'!B91</f>
        <v>Google</v>
      </c>
      <c r="C191" s="4" t="str">
        <f>'11_Clean_Google'!C91</f>
        <v>Search_Brand</v>
      </c>
      <c r="D191" s="4" t="str">
        <f>'11_Clean_Google'!D91</f>
        <v>Group_2</v>
      </c>
      <c r="E191" s="4" t="str">
        <f>'11_Clean_Google'!E91</f>
        <v>Headline_B</v>
      </c>
      <c r="F191" s="8">
        <f>'11_Clean_Google'!F91</f>
        <v>238.09</v>
      </c>
      <c r="G191" s="8">
        <f>'11_Clean_Google'!G91</f>
        <v>3219</v>
      </c>
      <c r="H191" s="8">
        <f>'11_Clean_Google'!H91</f>
        <v>613</v>
      </c>
      <c r="I191" s="8">
        <f>'11_Clean_Google'!I91</f>
        <v>0</v>
      </c>
      <c r="J191" s="8">
        <f>'11_Clean_Google'!J91</f>
        <v>32</v>
      </c>
      <c r="K191" s="8">
        <f>'11_Clean_Google'!K91</f>
        <v>1464.07</v>
      </c>
      <c r="L191">
        <f t="shared" si="10"/>
        <v>0.19043181112146629</v>
      </c>
      <c r="M191" s="3">
        <f t="shared" si="11"/>
        <v>5.2202283849918436E-2</v>
      </c>
      <c r="N191" s="3">
        <f t="shared" si="12"/>
        <v>0.38840130505709625</v>
      </c>
      <c r="O191" s="3">
        <f t="shared" si="13"/>
        <v>7.4403125000000001</v>
      </c>
      <c r="P191">
        <f t="shared" si="14"/>
        <v>6.1492292830442263</v>
      </c>
    </row>
    <row r="192" spans="1:16">
      <c r="A192" s="4">
        <f>'11_Clean_Google'!A92</f>
        <v>46023</v>
      </c>
      <c r="B192" s="4" t="str">
        <f>'11_Clean_Google'!B92</f>
        <v>Google</v>
      </c>
      <c r="C192" s="4" t="str">
        <f>'11_Clean_Google'!C92</f>
        <v>Search_Brand</v>
      </c>
      <c r="D192" s="4" t="str">
        <f>'11_Clean_Google'!D92</f>
        <v>Group_2</v>
      </c>
      <c r="E192" s="4" t="str">
        <f>'11_Clean_Google'!E92</f>
        <v>Headline_B</v>
      </c>
      <c r="F192" s="8">
        <f>'11_Clean_Google'!F92</f>
        <v>108.21</v>
      </c>
      <c r="G192" s="8">
        <f>'11_Clean_Google'!G92</f>
        <v>9926</v>
      </c>
      <c r="H192" s="8">
        <f>'11_Clean_Google'!H92</f>
        <v>689</v>
      </c>
      <c r="I192" s="8">
        <f>'11_Clean_Google'!I92</f>
        <v>0</v>
      </c>
      <c r="J192" s="8">
        <f>'11_Clean_Google'!J92</f>
        <v>13</v>
      </c>
      <c r="K192" s="8">
        <f>'11_Clean_Google'!K92</f>
        <v>1105.08</v>
      </c>
      <c r="L192">
        <f t="shared" si="10"/>
        <v>6.94136610920814E-2</v>
      </c>
      <c r="M192" s="3">
        <f t="shared" si="11"/>
        <v>1.8867924528301886E-2</v>
      </c>
      <c r="N192" s="3">
        <f t="shared" si="12"/>
        <v>0.15705370101596516</v>
      </c>
      <c r="O192" s="3">
        <f t="shared" si="13"/>
        <v>8.3238461538461532</v>
      </c>
      <c r="P192">
        <f t="shared" si="14"/>
        <v>10.21236484613252</v>
      </c>
    </row>
    <row r="193" spans="1:16">
      <c r="A193" s="4">
        <f>'11_Clean_Google'!A93</f>
        <v>46024</v>
      </c>
      <c r="B193" s="4" t="str">
        <f>'11_Clean_Google'!B93</f>
        <v>Google</v>
      </c>
      <c r="C193" s="4" t="str">
        <f>'11_Clean_Google'!C93</f>
        <v>Search_Brand</v>
      </c>
      <c r="D193" s="4" t="str">
        <f>'11_Clean_Google'!D93</f>
        <v>Group_2</v>
      </c>
      <c r="E193" s="4" t="str">
        <f>'11_Clean_Google'!E93</f>
        <v>Headline_A</v>
      </c>
      <c r="F193" s="8">
        <f>'11_Clean_Google'!F93</f>
        <v>239.21</v>
      </c>
      <c r="G193" s="8">
        <f>'11_Clean_Google'!G93</f>
        <v>3842</v>
      </c>
      <c r="H193" s="8">
        <f>'11_Clean_Google'!H93</f>
        <v>890</v>
      </c>
      <c r="I193" s="8">
        <f>'11_Clean_Google'!I93</f>
        <v>0</v>
      </c>
      <c r="J193" s="8">
        <f>'11_Clean_Google'!J93</f>
        <v>27</v>
      </c>
      <c r="K193" s="8">
        <f>'11_Clean_Google'!K93</f>
        <v>1012.92</v>
      </c>
      <c r="L193">
        <f t="shared" si="10"/>
        <v>0.23165018219677252</v>
      </c>
      <c r="M193" s="3">
        <f t="shared" si="11"/>
        <v>3.0337078651685393E-2</v>
      </c>
      <c r="N193" s="3">
        <f t="shared" si="12"/>
        <v>0.26877528089887642</v>
      </c>
      <c r="O193" s="3">
        <f t="shared" si="13"/>
        <v>8.8596296296296302</v>
      </c>
      <c r="P193">
        <f t="shared" si="14"/>
        <v>4.2344383596003512</v>
      </c>
    </row>
    <row r="194" spans="1:16">
      <c r="A194" s="4">
        <f>'11_Clean_Google'!A94</f>
        <v>46025</v>
      </c>
      <c r="B194" s="4" t="str">
        <f>'11_Clean_Google'!B94</f>
        <v>Google</v>
      </c>
      <c r="C194" s="4" t="str">
        <f>'11_Clean_Google'!C94</f>
        <v>PMax</v>
      </c>
      <c r="D194" s="4" t="str">
        <f>'11_Clean_Google'!D94</f>
        <v>Group_3</v>
      </c>
      <c r="E194" s="4" t="str">
        <f>'11_Clean_Google'!E94</f>
        <v>Headline_C</v>
      </c>
      <c r="F194" s="8">
        <f>'11_Clean_Google'!F94</f>
        <v>46.73</v>
      </c>
      <c r="G194" s="8">
        <f>'11_Clean_Google'!G94</f>
        <v>5297</v>
      </c>
      <c r="H194" s="8">
        <f>'11_Clean_Google'!H94</f>
        <v>604</v>
      </c>
      <c r="I194" s="8">
        <f>'11_Clean_Google'!I94</f>
        <v>0</v>
      </c>
      <c r="J194" s="8">
        <f>'11_Clean_Google'!J94</f>
        <v>17</v>
      </c>
      <c r="K194" s="8">
        <f>'11_Clean_Google'!K94</f>
        <v>1155.02</v>
      </c>
      <c r="L194">
        <f t="shared" si="10"/>
        <v>0.11402680762695866</v>
      </c>
      <c r="M194" s="3">
        <f t="shared" si="11"/>
        <v>2.8145695364238412E-2</v>
      </c>
      <c r="N194" s="3">
        <f t="shared" si="12"/>
        <v>7.7367549668874172E-2</v>
      </c>
      <c r="O194" s="3">
        <f t="shared" si="13"/>
        <v>2.7488235294117644</v>
      </c>
      <c r="P194">
        <f t="shared" si="14"/>
        <v>24.716884228546974</v>
      </c>
    </row>
    <row r="195" spans="1:16">
      <c r="A195" s="4">
        <f>'11_Clean_Google'!A95</f>
        <v>46026</v>
      </c>
      <c r="B195" s="4" t="str">
        <f>'11_Clean_Google'!B95</f>
        <v>Google</v>
      </c>
      <c r="C195" s="4" t="str">
        <f>'11_Clean_Google'!C95</f>
        <v>PMax</v>
      </c>
      <c r="D195" s="4" t="str">
        <f>'11_Clean_Google'!D95</f>
        <v>Group_1</v>
      </c>
      <c r="E195" s="4" t="str">
        <f>'11_Clean_Google'!E95</f>
        <v>Headline_C</v>
      </c>
      <c r="F195" s="8">
        <f>'11_Clean_Google'!F95</f>
        <v>128.68</v>
      </c>
      <c r="G195" s="8">
        <f>'11_Clean_Google'!G95</f>
        <v>2266</v>
      </c>
      <c r="H195" s="8">
        <f>'11_Clean_Google'!H95</f>
        <v>339</v>
      </c>
      <c r="I195" s="8">
        <f>'11_Clean_Google'!I95</f>
        <v>0</v>
      </c>
      <c r="J195" s="8">
        <f>'11_Clean_Google'!J95</f>
        <v>31</v>
      </c>
      <c r="K195" s="8">
        <f>'11_Clean_Google'!K95</f>
        <v>1432.76</v>
      </c>
      <c r="L195">
        <f t="shared" ref="L195:L201" si="15">H195/G195</f>
        <v>0.14960282436010591</v>
      </c>
      <c r="M195" s="3">
        <f t="shared" ref="M195:M201" si="16">J195/H195</f>
        <v>9.1445427728613568E-2</v>
      </c>
      <c r="N195" s="3">
        <f t="shared" ref="N195:N201" si="17">F195/H195</f>
        <v>0.3795870206489676</v>
      </c>
      <c r="O195" s="3">
        <f t="shared" ref="O195:O201" si="18">F195/J195</f>
        <v>4.1509677419354842</v>
      </c>
      <c r="P195">
        <f t="shared" ref="P195:P201" si="19">K195/F195</f>
        <v>11.134286602424618</v>
      </c>
    </row>
    <row r="196" spans="1:16">
      <c r="A196" s="4">
        <f>'11_Clean_Google'!A96</f>
        <v>46027</v>
      </c>
      <c r="B196" s="4" t="str">
        <f>'11_Clean_Google'!B96</f>
        <v>Google</v>
      </c>
      <c r="C196" s="4" t="str">
        <f>'11_Clean_Google'!C96</f>
        <v>Search_Generic</v>
      </c>
      <c r="D196" s="4" t="str">
        <f>'11_Clean_Google'!D96</f>
        <v>Group_1</v>
      </c>
      <c r="E196" s="4" t="str">
        <f>'11_Clean_Google'!E96</f>
        <v>Headline_B</v>
      </c>
      <c r="F196" s="8">
        <f>'11_Clean_Google'!F96</f>
        <v>78.430000000000007</v>
      </c>
      <c r="G196" s="8">
        <f>'11_Clean_Google'!G96</f>
        <v>4361</v>
      </c>
      <c r="H196" s="8">
        <f>'11_Clean_Google'!H96</f>
        <v>272</v>
      </c>
      <c r="I196" s="8">
        <f>'11_Clean_Google'!I96</f>
        <v>0</v>
      </c>
      <c r="J196" s="8">
        <f>'11_Clean_Google'!J96</f>
        <v>34</v>
      </c>
      <c r="K196" s="8">
        <f>'11_Clean_Google'!K96</f>
        <v>1369.1</v>
      </c>
      <c r="L196">
        <f t="shared" si="15"/>
        <v>6.2371015822059159E-2</v>
      </c>
      <c r="M196" s="3">
        <f t="shared" si="16"/>
        <v>0.125</v>
      </c>
      <c r="N196" s="3">
        <f t="shared" si="17"/>
        <v>0.28834558823529416</v>
      </c>
      <c r="O196" s="3">
        <f t="shared" si="18"/>
        <v>2.3067647058823533</v>
      </c>
      <c r="P196">
        <f t="shared" si="19"/>
        <v>17.4563304857835</v>
      </c>
    </row>
    <row r="197" spans="1:16">
      <c r="A197" s="4">
        <f>'11_Clean_Google'!A97</f>
        <v>46028</v>
      </c>
      <c r="B197" s="4" t="str">
        <f>'11_Clean_Google'!B97</f>
        <v>Google</v>
      </c>
      <c r="C197" s="4" t="str">
        <f>'11_Clean_Google'!C97</f>
        <v>Search_Generic</v>
      </c>
      <c r="D197" s="4" t="str">
        <f>'11_Clean_Google'!D97</f>
        <v>Group_3</v>
      </c>
      <c r="E197" s="4" t="str">
        <f>'11_Clean_Google'!E97</f>
        <v>Headline_C</v>
      </c>
      <c r="F197" s="8">
        <f>'11_Clean_Google'!F97</f>
        <v>141.86000000000001</v>
      </c>
      <c r="G197" s="8">
        <f>'11_Clean_Google'!G97</f>
        <v>1414</v>
      </c>
      <c r="H197" s="8">
        <f>'11_Clean_Google'!H97</f>
        <v>522</v>
      </c>
      <c r="I197" s="8">
        <f>'11_Clean_Google'!I97</f>
        <v>0</v>
      </c>
      <c r="J197" s="8">
        <f>'11_Clean_Google'!J97</f>
        <v>24</v>
      </c>
      <c r="K197" s="8">
        <f>'11_Clean_Google'!K97</f>
        <v>1108.49</v>
      </c>
      <c r="L197">
        <f t="shared" si="15"/>
        <v>0.36916548797736914</v>
      </c>
      <c r="M197" s="3">
        <f t="shared" si="16"/>
        <v>4.5977011494252873E-2</v>
      </c>
      <c r="N197" s="3">
        <f t="shared" si="17"/>
        <v>0.27176245210727973</v>
      </c>
      <c r="O197" s="3">
        <f t="shared" si="18"/>
        <v>5.9108333333333336</v>
      </c>
      <c r="P197">
        <f t="shared" si="19"/>
        <v>7.813971521218102</v>
      </c>
    </row>
    <row r="198" spans="1:16">
      <c r="A198" s="4">
        <f>'11_Clean_Google'!A98</f>
        <v>46029</v>
      </c>
      <c r="B198" s="4" t="str">
        <f>'11_Clean_Google'!B98</f>
        <v>Google</v>
      </c>
      <c r="C198" s="4" t="str">
        <f>'11_Clean_Google'!C98</f>
        <v>Search_Brand</v>
      </c>
      <c r="D198" s="4" t="str">
        <f>'11_Clean_Google'!D98</f>
        <v>Group_2</v>
      </c>
      <c r="E198" s="4" t="str">
        <f>'11_Clean_Google'!E98</f>
        <v>Headline_A</v>
      </c>
      <c r="F198" s="8">
        <f>'11_Clean_Google'!F98</f>
        <v>53.07</v>
      </c>
      <c r="G198" s="8">
        <f>'11_Clean_Google'!G98</f>
        <v>6192</v>
      </c>
      <c r="H198" s="8">
        <f>'11_Clean_Google'!H98</f>
        <v>395</v>
      </c>
      <c r="I198" s="8">
        <f>'11_Clean_Google'!I98</f>
        <v>0</v>
      </c>
      <c r="J198" s="8">
        <f>'11_Clean_Google'!J98</f>
        <v>35</v>
      </c>
      <c r="K198" s="8">
        <f>'11_Clean_Google'!K98</f>
        <v>1143.81</v>
      </c>
      <c r="L198">
        <f t="shared" si="15"/>
        <v>6.3791989664082685E-2</v>
      </c>
      <c r="M198" s="3">
        <f t="shared" si="16"/>
        <v>8.8607594936708861E-2</v>
      </c>
      <c r="N198" s="3">
        <f t="shared" si="17"/>
        <v>0.13435443037974684</v>
      </c>
      <c r="O198" s="3">
        <f t="shared" si="18"/>
        <v>1.5162857142857142</v>
      </c>
      <c r="P198">
        <f t="shared" si="19"/>
        <v>21.552854720180893</v>
      </c>
    </row>
    <row r="199" spans="1:16">
      <c r="A199" s="4">
        <f>'11_Clean_Google'!A99</f>
        <v>46030</v>
      </c>
      <c r="B199" s="4" t="str">
        <f>'11_Clean_Google'!B99</f>
        <v>Google</v>
      </c>
      <c r="C199" s="4" t="str">
        <f>'11_Clean_Google'!C99</f>
        <v>PMax</v>
      </c>
      <c r="D199" s="4" t="str">
        <f>'11_Clean_Google'!D99</f>
        <v>Group_3</v>
      </c>
      <c r="E199" s="4" t="str">
        <f>'11_Clean_Google'!E99</f>
        <v>Headline_A</v>
      </c>
      <c r="F199" s="8">
        <f>'11_Clean_Google'!F99</f>
        <v>212.76</v>
      </c>
      <c r="G199" s="8">
        <f>'11_Clean_Google'!G99</f>
        <v>8493</v>
      </c>
      <c r="H199" s="8">
        <f>'11_Clean_Google'!H99</f>
        <v>359</v>
      </c>
      <c r="I199" s="8">
        <f>'11_Clean_Google'!I99</f>
        <v>0</v>
      </c>
      <c r="J199" s="8">
        <f>'11_Clean_Google'!J99</f>
        <v>6</v>
      </c>
      <c r="K199" s="8">
        <f>'11_Clean_Google'!K99</f>
        <v>287.20999999999998</v>
      </c>
      <c r="L199">
        <f t="shared" si="15"/>
        <v>4.2270104792181795E-2</v>
      </c>
      <c r="M199" s="3">
        <f t="shared" si="16"/>
        <v>1.6713091922005572E-2</v>
      </c>
      <c r="N199" s="3">
        <f t="shared" si="17"/>
        <v>0.5926462395543175</v>
      </c>
      <c r="O199" s="3">
        <f t="shared" si="18"/>
        <v>35.46</v>
      </c>
      <c r="P199">
        <f t="shared" si="19"/>
        <v>1.3499247978943409</v>
      </c>
    </row>
    <row r="200" spans="1:16">
      <c r="A200" s="4">
        <f>'11_Clean_Google'!A100</f>
        <v>46031</v>
      </c>
      <c r="B200" s="4" t="str">
        <f>'11_Clean_Google'!B100</f>
        <v>Google</v>
      </c>
      <c r="C200" s="4" t="str">
        <f>'11_Clean_Google'!C100</f>
        <v>PMax</v>
      </c>
      <c r="D200" s="4" t="str">
        <f>'11_Clean_Google'!D100</f>
        <v>Group_3</v>
      </c>
      <c r="E200" s="4" t="str">
        <f>'11_Clean_Google'!E100</f>
        <v>Headline_A</v>
      </c>
      <c r="F200" s="8">
        <f>'11_Clean_Google'!F100</f>
        <v>213.91</v>
      </c>
      <c r="G200" s="8">
        <f>'11_Clean_Google'!G100</f>
        <v>10174</v>
      </c>
      <c r="H200" s="8">
        <f>'11_Clean_Google'!H100</f>
        <v>136</v>
      </c>
      <c r="I200" s="8">
        <f>'11_Clean_Google'!I100</f>
        <v>0</v>
      </c>
      <c r="J200" s="8">
        <f>'11_Clean_Google'!J100</f>
        <v>19</v>
      </c>
      <c r="K200" s="8">
        <f>'11_Clean_Google'!K100</f>
        <v>225.97</v>
      </c>
      <c r="L200">
        <f t="shared" si="15"/>
        <v>1.3367407116178493E-2</v>
      </c>
      <c r="M200" s="3">
        <f t="shared" si="16"/>
        <v>0.13970588235294118</v>
      </c>
      <c r="N200" s="3">
        <f t="shared" si="17"/>
        <v>1.5728676470588234</v>
      </c>
      <c r="O200" s="3">
        <f t="shared" si="18"/>
        <v>11.258421052631579</v>
      </c>
      <c r="P200">
        <f t="shared" si="19"/>
        <v>1.0563788509186107</v>
      </c>
    </row>
    <row r="201" spans="1:16">
      <c r="A201" s="4">
        <f>'11_Clean_Google'!A101</f>
        <v>46032</v>
      </c>
      <c r="B201" s="4" t="str">
        <f>'11_Clean_Google'!B101</f>
        <v>Google</v>
      </c>
      <c r="C201" s="4" t="str">
        <f>'11_Clean_Google'!C101</f>
        <v>PMax</v>
      </c>
      <c r="D201" s="4" t="str">
        <f>'11_Clean_Google'!D101</f>
        <v>Group_3</v>
      </c>
      <c r="E201" s="4" t="str">
        <f>'11_Clean_Google'!E101</f>
        <v>Headline_C</v>
      </c>
      <c r="F201" s="8">
        <f>'11_Clean_Google'!F101</f>
        <v>239.48</v>
      </c>
      <c r="G201" s="8">
        <f>'11_Clean_Google'!G101</f>
        <v>4023</v>
      </c>
      <c r="H201" s="8">
        <f>'11_Clean_Google'!H101</f>
        <v>255</v>
      </c>
      <c r="I201" s="8">
        <f>'11_Clean_Google'!I101</f>
        <v>0</v>
      </c>
      <c r="J201" s="8">
        <f>'11_Clean_Google'!J101</f>
        <v>30</v>
      </c>
      <c r="K201" s="8">
        <f>'11_Clean_Google'!K101</f>
        <v>890.68</v>
      </c>
      <c r="L201">
        <f t="shared" si="15"/>
        <v>6.3385533184190906E-2</v>
      </c>
      <c r="M201" s="3">
        <f t="shared" si="16"/>
        <v>0.11764705882352941</v>
      </c>
      <c r="N201" s="3">
        <f t="shared" si="17"/>
        <v>0.93913725490196076</v>
      </c>
      <c r="O201" s="3">
        <f t="shared" si="18"/>
        <v>7.9826666666666659</v>
      </c>
      <c r="P201">
        <f t="shared" si="19"/>
        <v>3.7192249874728578</v>
      </c>
    </row>
    <row r="202" spans="1:16" ht="12.6" customHeight="1">
      <c r="A202" s="4"/>
    </row>
    <row r="203" spans="1:16">
      <c r="A20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EC71-FD9F-42E8-9EC0-66255B2ABC05}">
  <dimension ref="A1:P97"/>
  <sheetViews>
    <sheetView workbookViewId="0">
      <selection activeCell="A2" sqref="A2:A97"/>
    </sheetView>
  </sheetViews>
  <sheetFormatPr defaultRowHeight="14.4"/>
  <cols>
    <col min="1" max="1" width="9.33203125" bestFit="1" customWidth="1"/>
    <col min="7" max="7" width="11.21875" bestFit="1" customWidth="1"/>
    <col min="9" max="9" width="9.77734375" bestFit="1" customWidth="1"/>
  </cols>
  <sheetData>
    <row r="1" spans="1:16">
      <c r="A1" s="7" t="s">
        <v>9</v>
      </c>
      <c r="B1" s="7" t="s">
        <v>31</v>
      </c>
      <c r="C1" s="7" t="s">
        <v>10</v>
      </c>
      <c r="D1" s="7" t="s">
        <v>156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157</v>
      </c>
      <c r="J1" s="7" t="s">
        <v>17</v>
      </c>
      <c r="K1" s="7" t="s">
        <v>33</v>
      </c>
      <c r="L1" s="7" t="s">
        <v>159</v>
      </c>
      <c r="M1" s="7" t="s">
        <v>160</v>
      </c>
      <c r="N1" s="7" t="s">
        <v>161</v>
      </c>
      <c r="O1" s="7" t="s">
        <v>162</v>
      </c>
      <c r="P1" s="7" t="s">
        <v>163</v>
      </c>
    </row>
    <row r="2" spans="1:16">
      <c r="A2" s="1" cm="1">
        <f t="array" aca="1" ref="A2:P97" ca="1">_xlfn._xlws.FILTER('20_Model_Daily'!A2:P1000,
('20_Model_Daily'!A2:A1000&gt;='00_Control'!B3)*
('20_Model_Daily'!A2:A1000&lt;='00_Control'!B4))</f>
        <v>46037</v>
      </c>
      <c r="B2" t="str">
        <f ca="1"/>
        <v>Meta</v>
      </c>
      <c r="C2" t="str">
        <f ca="1"/>
        <v>Campaign_B</v>
      </c>
      <c r="D2" t="str">
        <f ca="1"/>
        <v>Prospecting</v>
      </c>
      <c r="E2" t="str">
        <f ca="1"/>
        <v>Creative_3</v>
      </c>
      <c r="F2">
        <f ca="1"/>
        <v>48.41</v>
      </c>
      <c r="G2">
        <f ca="1"/>
        <v>5465</v>
      </c>
      <c r="H2">
        <f ca="1"/>
        <v>328</v>
      </c>
      <c r="I2">
        <f ca="1"/>
        <v>35</v>
      </c>
      <c r="J2">
        <f ca="1"/>
        <v>9</v>
      </c>
      <c r="K2">
        <f ca="1"/>
        <v>1661.4</v>
      </c>
      <c r="L2">
        <f ca="1"/>
        <v>6.0018298261665139E-2</v>
      </c>
      <c r="M2">
        <f ca="1"/>
        <v>2.7439024390243903E-2</v>
      </c>
      <c r="N2">
        <f ca="1"/>
        <v>0.14759146341463414</v>
      </c>
      <c r="O2">
        <f ca="1"/>
        <v>5.3788888888888886</v>
      </c>
      <c r="P2">
        <f ca="1"/>
        <v>34.31935550506094</v>
      </c>
    </row>
    <row r="3" spans="1:16">
      <c r="A3" s="1">
        <f ca="1"/>
        <v>46038</v>
      </c>
      <c r="B3" t="str">
        <f ca="1"/>
        <v>Meta</v>
      </c>
      <c r="C3" t="str">
        <f ca="1"/>
        <v>Campaign_A</v>
      </c>
      <c r="D3" t="str">
        <f ca="1"/>
        <v>Retargeting</v>
      </c>
      <c r="E3" t="str">
        <f ca="1"/>
        <v>Creative_1</v>
      </c>
      <c r="F3">
        <f ca="1"/>
        <v>205.78</v>
      </c>
      <c r="G3">
        <f ca="1"/>
        <v>18019</v>
      </c>
      <c r="H3">
        <f ca="1"/>
        <v>266</v>
      </c>
      <c r="I3">
        <f ca="1"/>
        <v>5</v>
      </c>
      <c r="J3">
        <f ca="1"/>
        <v>46</v>
      </c>
      <c r="K3">
        <f ca="1"/>
        <v>755.66</v>
      </c>
      <c r="L3">
        <f ca="1"/>
        <v>1.4762195460347412E-2</v>
      </c>
      <c r="M3">
        <f ca="1"/>
        <v>0.17293233082706766</v>
      </c>
      <c r="N3">
        <f ca="1"/>
        <v>0.77360902255639097</v>
      </c>
      <c r="O3">
        <f ca="1"/>
        <v>4.4734782608695651</v>
      </c>
      <c r="P3">
        <f ca="1"/>
        <v>3.6721741665856737</v>
      </c>
    </row>
    <row r="4" spans="1:16">
      <c r="A4" s="1">
        <f ca="1"/>
        <v>46039</v>
      </c>
      <c r="B4" t="str">
        <f ca="1"/>
        <v>Meta</v>
      </c>
      <c r="C4" t="str">
        <f ca="1"/>
        <v>Campaign_B</v>
      </c>
      <c r="D4" t="str">
        <f ca="1"/>
        <v>Prospecting</v>
      </c>
      <c r="E4" t="str">
        <f ca="1"/>
        <v>Creative_2</v>
      </c>
      <c r="F4">
        <f ca="1"/>
        <v>21.42</v>
      </c>
      <c r="G4">
        <f ca="1"/>
        <v>14417</v>
      </c>
      <c r="H4">
        <f ca="1"/>
        <v>916</v>
      </c>
      <c r="I4">
        <f ca="1"/>
        <v>58</v>
      </c>
      <c r="J4">
        <f ca="1"/>
        <v>1</v>
      </c>
      <c r="K4">
        <f ca="1"/>
        <v>760.48</v>
      </c>
      <c r="L4">
        <f ca="1"/>
        <v>6.3536103211486436E-2</v>
      </c>
      <c r="M4">
        <f ca="1"/>
        <v>1.0917030567685589E-3</v>
      </c>
      <c r="N4">
        <f ca="1"/>
        <v>2.3384279475982536E-2</v>
      </c>
      <c r="O4">
        <f ca="1"/>
        <v>21.42</v>
      </c>
      <c r="P4">
        <f ca="1"/>
        <v>35.503267973856204</v>
      </c>
    </row>
    <row r="5" spans="1:16">
      <c r="A5" s="1">
        <f ca="1"/>
        <v>46040</v>
      </c>
      <c r="B5" t="str">
        <f ca="1"/>
        <v>Meta</v>
      </c>
      <c r="C5" t="str">
        <f ca="1"/>
        <v>Campaign_B</v>
      </c>
      <c r="D5" t="str">
        <f ca="1"/>
        <v>Retargeting</v>
      </c>
      <c r="E5" t="str">
        <f ca="1"/>
        <v>Creative_1</v>
      </c>
      <c r="F5">
        <f ca="1"/>
        <v>65.03</v>
      </c>
      <c r="G5">
        <f ca="1"/>
        <v>19077</v>
      </c>
      <c r="H5">
        <f ca="1"/>
        <v>922</v>
      </c>
      <c r="I5">
        <f ca="1"/>
        <v>7</v>
      </c>
      <c r="J5">
        <f ca="1"/>
        <v>51</v>
      </c>
      <c r="K5">
        <f ca="1"/>
        <v>160.43</v>
      </c>
      <c r="L5">
        <f ca="1"/>
        <v>4.8330450280442416E-2</v>
      </c>
      <c r="M5">
        <f ca="1"/>
        <v>5.5314533622559656E-2</v>
      </c>
      <c r="N5">
        <f ca="1"/>
        <v>7.0531453362255969E-2</v>
      </c>
      <c r="O5">
        <f ca="1"/>
        <v>1.2750980392156863</v>
      </c>
      <c r="P5">
        <f ca="1"/>
        <v>2.4670152237428882</v>
      </c>
    </row>
    <row r="6" spans="1:16">
      <c r="A6" s="1">
        <f ca="1"/>
        <v>46041</v>
      </c>
      <c r="B6" t="str">
        <f ca="1"/>
        <v>Meta</v>
      </c>
      <c r="C6" t="str">
        <f ca="1"/>
        <v>Campaign_B</v>
      </c>
      <c r="D6" t="str">
        <f ca="1"/>
        <v>Prospecting</v>
      </c>
      <c r="E6" t="str">
        <f ca="1"/>
        <v>Creative_1</v>
      </c>
      <c r="F6">
        <f ca="1"/>
        <v>173.65</v>
      </c>
      <c r="G6">
        <f ca="1"/>
        <v>9311</v>
      </c>
      <c r="H6">
        <f ca="1"/>
        <v>111</v>
      </c>
      <c r="I6">
        <f ca="1"/>
        <v>20</v>
      </c>
      <c r="J6">
        <f ca="1"/>
        <v>45</v>
      </c>
      <c r="K6">
        <f ca="1"/>
        <v>1142.56</v>
      </c>
      <c r="L6">
        <f ca="1"/>
        <v>1.1921383310063366E-2</v>
      </c>
      <c r="M6">
        <f ca="1"/>
        <v>0.40540540540540543</v>
      </c>
      <c r="N6">
        <f ca="1"/>
        <v>1.5644144144144145</v>
      </c>
      <c r="O6">
        <f ca="1"/>
        <v>3.858888888888889</v>
      </c>
      <c r="P6">
        <f ca="1"/>
        <v>6.5796717535272098</v>
      </c>
    </row>
    <row r="7" spans="1:16">
      <c r="A7" s="1">
        <f ca="1"/>
        <v>46042</v>
      </c>
      <c r="B7" t="str">
        <f ca="1"/>
        <v>Meta</v>
      </c>
      <c r="C7" t="str">
        <f ca="1"/>
        <v>Campaign_B</v>
      </c>
      <c r="D7" t="str">
        <f ca="1"/>
        <v>Prospecting</v>
      </c>
      <c r="E7" t="str">
        <f ca="1"/>
        <v>Creative_3</v>
      </c>
      <c r="F7">
        <f ca="1"/>
        <v>213.73</v>
      </c>
      <c r="G7">
        <f ca="1"/>
        <v>18214</v>
      </c>
      <c r="H7">
        <f ca="1"/>
        <v>645</v>
      </c>
      <c r="I7">
        <f ca="1"/>
        <v>91</v>
      </c>
      <c r="J7">
        <f ca="1"/>
        <v>13</v>
      </c>
      <c r="K7">
        <f ca="1"/>
        <v>1115.4000000000001</v>
      </c>
      <c r="L7">
        <f ca="1"/>
        <v>3.5412320193257935E-2</v>
      </c>
      <c r="M7">
        <f ca="1"/>
        <v>2.0155038759689922E-2</v>
      </c>
      <c r="N7">
        <f ca="1"/>
        <v>0.3313643410852713</v>
      </c>
      <c r="O7">
        <f ca="1"/>
        <v>16.440769230769231</v>
      </c>
      <c r="P7">
        <f ca="1"/>
        <v>5.2187339166237781</v>
      </c>
    </row>
    <row r="8" spans="1:16">
      <c r="A8" s="1">
        <f ca="1"/>
        <v>46043</v>
      </c>
      <c r="B8" t="str">
        <f ca="1"/>
        <v>Meta</v>
      </c>
      <c r="C8" t="str">
        <f ca="1"/>
        <v>Campaign_A</v>
      </c>
      <c r="D8" t="str">
        <f ca="1"/>
        <v>Retargeting</v>
      </c>
      <c r="E8" t="str">
        <f ca="1"/>
        <v>Creative_2</v>
      </c>
      <c r="F8">
        <f ca="1"/>
        <v>202.55</v>
      </c>
      <c r="G8">
        <f ca="1"/>
        <v>15098</v>
      </c>
      <c r="H8">
        <f ca="1"/>
        <v>778</v>
      </c>
      <c r="I8">
        <f ca="1"/>
        <v>61</v>
      </c>
      <c r="J8">
        <f ca="1"/>
        <v>4</v>
      </c>
      <c r="K8">
        <f ca="1"/>
        <v>776.38</v>
      </c>
      <c r="L8">
        <f ca="1"/>
        <v>5.1530003974036294E-2</v>
      </c>
      <c r="M8">
        <f ca="1"/>
        <v>5.1413881748071976E-3</v>
      </c>
      <c r="N8">
        <f ca="1"/>
        <v>0.26034704370179951</v>
      </c>
      <c r="O8">
        <f ca="1"/>
        <v>50.637500000000003</v>
      </c>
      <c r="P8">
        <f ca="1"/>
        <v>3.8330288817575906</v>
      </c>
    </row>
    <row r="9" spans="1:16">
      <c r="A9" s="1">
        <f ca="1"/>
        <v>46044</v>
      </c>
      <c r="B9" t="str">
        <f ca="1"/>
        <v>Meta</v>
      </c>
      <c r="C9" t="str">
        <f ca="1"/>
        <v>Campaign_A</v>
      </c>
      <c r="D9" t="str">
        <f ca="1"/>
        <v>Retargeting</v>
      </c>
      <c r="E9" t="str">
        <f ca="1"/>
        <v>Creative_3</v>
      </c>
      <c r="F9">
        <f ca="1"/>
        <v>82.8</v>
      </c>
      <c r="G9">
        <f ca="1"/>
        <v>6177</v>
      </c>
      <c r="H9">
        <f ca="1"/>
        <v>446</v>
      </c>
      <c r="I9">
        <f ca="1"/>
        <v>79</v>
      </c>
      <c r="J9">
        <f ca="1"/>
        <v>1</v>
      </c>
      <c r="K9">
        <f ca="1"/>
        <v>1799.01</v>
      </c>
      <c r="L9">
        <f ca="1"/>
        <v>7.2203334952242182E-2</v>
      </c>
      <c r="M9">
        <f ca="1"/>
        <v>2.242152466367713E-3</v>
      </c>
      <c r="N9">
        <f ca="1"/>
        <v>0.18565022421524663</v>
      </c>
      <c r="O9">
        <f ca="1"/>
        <v>82.8</v>
      </c>
      <c r="P9">
        <f ca="1"/>
        <v>21.72717391304348</v>
      </c>
    </row>
    <row r="10" spans="1:16">
      <c r="A10" s="1">
        <f ca="1"/>
        <v>46045</v>
      </c>
      <c r="B10" t="str">
        <f ca="1"/>
        <v>Meta</v>
      </c>
      <c r="C10" t="str">
        <f ca="1"/>
        <v>Campaign_B</v>
      </c>
      <c r="D10" t="str">
        <f ca="1"/>
        <v>Retargeting</v>
      </c>
      <c r="E10" t="str">
        <f ca="1"/>
        <v>Creative_3</v>
      </c>
      <c r="F10">
        <f ca="1"/>
        <v>219.41</v>
      </c>
      <c r="G10">
        <f ca="1"/>
        <v>15262</v>
      </c>
      <c r="H10">
        <f ca="1"/>
        <v>748</v>
      </c>
      <c r="I10">
        <f ca="1"/>
        <v>16</v>
      </c>
      <c r="J10">
        <f ca="1"/>
        <v>49</v>
      </c>
      <c r="K10">
        <f ca="1"/>
        <v>344.62</v>
      </c>
      <c r="L10">
        <f ca="1"/>
        <v>4.9010614598348844E-2</v>
      </c>
      <c r="M10">
        <f ca="1"/>
        <v>6.550802139037433E-2</v>
      </c>
      <c r="N10">
        <f ca="1"/>
        <v>0.2933288770053476</v>
      </c>
      <c r="O10">
        <f ca="1"/>
        <v>4.4777551020408159</v>
      </c>
      <c r="P10">
        <f ca="1"/>
        <v>1.5706667882047309</v>
      </c>
    </row>
    <row r="11" spans="1:16">
      <c r="A11" s="1">
        <f ca="1"/>
        <v>46046</v>
      </c>
      <c r="B11" t="str">
        <f ca="1"/>
        <v>Meta</v>
      </c>
      <c r="C11" t="str">
        <f ca="1"/>
        <v>Campaign_B</v>
      </c>
      <c r="D11" t="str">
        <f ca="1"/>
        <v>Prospecting</v>
      </c>
      <c r="E11" t="str">
        <f ca="1"/>
        <v>Creative_2</v>
      </c>
      <c r="F11">
        <f ca="1"/>
        <v>86.43</v>
      </c>
      <c r="G11">
        <f ca="1"/>
        <v>9308</v>
      </c>
      <c r="H11">
        <f ca="1"/>
        <v>1092</v>
      </c>
      <c r="I11">
        <f ca="1"/>
        <v>78</v>
      </c>
      <c r="J11">
        <f ca="1"/>
        <v>40</v>
      </c>
      <c r="K11">
        <f ca="1"/>
        <v>727.19</v>
      </c>
      <c r="L11">
        <f ca="1"/>
        <v>0.11731843575418995</v>
      </c>
      <c r="M11">
        <f ca="1"/>
        <v>3.6630036630036632E-2</v>
      </c>
      <c r="N11">
        <f ca="1"/>
        <v>7.9148351648351656E-2</v>
      </c>
      <c r="O11">
        <f ca="1"/>
        <v>2.1607500000000002</v>
      </c>
      <c r="P11">
        <f ca="1"/>
        <v>8.4136295267846819</v>
      </c>
    </row>
    <row r="12" spans="1:16">
      <c r="A12" s="1">
        <f ca="1"/>
        <v>46047</v>
      </c>
      <c r="B12" t="str">
        <f ca="1"/>
        <v>Meta</v>
      </c>
      <c r="C12" t="str">
        <f ca="1"/>
        <v>Campaign_A</v>
      </c>
      <c r="D12" t="str">
        <f ca="1"/>
        <v>Retargeting</v>
      </c>
      <c r="E12" t="str">
        <f ca="1"/>
        <v>Creative_1</v>
      </c>
      <c r="F12">
        <f ca="1"/>
        <v>111.11</v>
      </c>
      <c r="G12">
        <f ca="1"/>
        <v>6949</v>
      </c>
      <c r="H12">
        <f ca="1"/>
        <v>226</v>
      </c>
      <c r="I12">
        <f ca="1"/>
        <v>100</v>
      </c>
      <c r="J12">
        <f ca="1"/>
        <v>32</v>
      </c>
      <c r="K12">
        <f ca="1"/>
        <v>711.01</v>
      </c>
      <c r="L12">
        <f ca="1"/>
        <v>3.2522665131673623E-2</v>
      </c>
      <c r="M12">
        <f ca="1"/>
        <v>0.1415929203539823</v>
      </c>
      <c r="N12">
        <f ca="1"/>
        <v>0.49163716814159292</v>
      </c>
      <c r="O12">
        <f ca="1"/>
        <v>3.4721875</v>
      </c>
      <c r="P12">
        <f ca="1"/>
        <v>6.3991539915399152</v>
      </c>
    </row>
    <row r="13" spans="1:16">
      <c r="A13" s="1">
        <f ca="1"/>
        <v>46048</v>
      </c>
      <c r="B13" t="str">
        <f ca="1"/>
        <v>Meta</v>
      </c>
      <c r="C13" t="str">
        <f ca="1"/>
        <v>Campaign_A</v>
      </c>
      <c r="D13" t="str">
        <f ca="1"/>
        <v>Prospecting</v>
      </c>
      <c r="E13" t="str">
        <f ca="1"/>
        <v>Creative_1</v>
      </c>
      <c r="F13">
        <f ca="1"/>
        <v>229.02</v>
      </c>
      <c r="G13">
        <f ca="1"/>
        <v>2150</v>
      </c>
      <c r="H13">
        <f ca="1"/>
        <v>445</v>
      </c>
      <c r="I13">
        <f ca="1"/>
        <v>20</v>
      </c>
      <c r="J13">
        <f ca="1"/>
        <v>34</v>
      </c>
      <c r="K13">
        <f ca="1"/>
        <v>275.35000000000002</v>
      </c>
      <c r="L13">
        <f ca="1"/>
        <v>0.2069767441860465</v>
      </c>
      <c r="M13">
        <f ca="1"/>
        <v>7.6404494382022473E-2</v>
      </c>
      <c r="N13">
        <f ca="1"/>
        <v>0.51465168539325845</v>
      </c>
      <c r="O13">
        <f ca="1"/>
        <v>6.7358823529411769</v>
      </c>
      <c r="P13">
        <f ca="1"/>
        <v>1.2022967426425639</v>
      </c>
    </row>
    <row r="14" spans="1:16">
      <c r="A14" s="1">
        <f ca="1"/>
        <v>46049</v>
      </c>
      <c r="B14" t="str">
        <f ca="1"/>
        <v>Meta</v>
      </c>
      <c r="C14" t="str">
        <f ca="1"/>
        <v>Campaign_A</v>
      </c>
      <c r="D14" t="str">
        <f ca="1"/>
        <v>Prospecting</v>
      </c>
      <c r="E14" t="str">
        <f ca="1"/>
        <v>Creative_2</v>
      </c>
      <c r="F14">
        <f ca="1"/>
        <v>201.9</v>
      </c>
      <c r="G14">
        <f ca="1"/>
        <v>2931</v>
      </c>
      <c r="H14">
        <f ca="1"/>
        <v>494</v>
      </c>
      <c r="I14">
        <f ca="1"/>
        <v>76</v>
      </c>
      <c r="J14">
        <f ca="1"/>
        <v>28</v>
      </c>
      <c r="K14">
        <f ca="1"/>
        <v>1014.18</v>
      </c>
      <c r="L14">
        <f ca="1"/>
        <v>0.16854315933128625</v>
      </c>
      <c r="M14">
        <f ca="1"/>
        <v>5.6680161943319839E-2</v>
      </c>
      <c r="N14">
        <f ca="1"/>
        <v>0.40870445344129558</v>
      </c>
      <c r="O14">
        <f ca="1"/>
        <v>7.2107142857142863</v>
      </c>
      <c r="P14">
        <f ca="1"/>
        <v>5.0231797919762258</v>
      </c>
    </row>
    <row r="15" spans="1:16">
      <c r="A15" s="1">
        <f ca="1"/>
        <v>46050</v>
      </c>
      <c r="B15" t="str">
        <f ca="1"/>
        <v>Meta</v>
      </c>
      <c r="C15" t="str">
        <f ca="1"/>
        <v>Campaign_C</v>
      </c>
      <c r="D15" t="str">
        <f ca="1"/>
        <v>Retargeting</v>
      </c>
      <c r="E15" t="str">
        <f ca="1"/>
        <v>Creative_1</v>
      </c>
      <c r="F15">
        <f ca="1"/>
        <v>257.77999999999997</v>
      </c>
      <c r="G15">
        <f ca="1"/>
        <v>10204</v>
      </c>
      <c r="H15">
        <f ca="1"/>
        <v>125</v>
      </c>
      <c r="I15">
        <f ca="1"/>
        <v>106</v>
      </c>
      <c r="J15">
        <f ca="1"/>
        <v>31</v>
      </c>
      <c r="K15">
        <f ca="1"/>
        <v>1406.79</v>
      </c>
      <c r="L15">
        <f ca="1"/>
        <v>1.2250098000784006E-2</v>
      </c>
      <c r="M15">
        <f ca="1"/>
        <v>0.248</v>
      </c>
      <c r="N15">
        <f ca="1"/>
        <v>2.0622399999999996</v>
      </c>
      <c r="O15">
        <f ca="1"/>
        <v>8.315483870967741</v>
      </c>
      <c r="P15">
        <f ca="1"/>
        <v>5.4573279540693616</v>
      </c>
    </row>
    <row r="16" spans="1:16">
      <c r="A16" s="1">
        <f ca="1"/>
        <v>46051</v>
      </c>
      <c r="B16" t="str">
        <f ca="1"/>
        <v>Meta</v>
      </c>
      <c r="C16" t="str">
        <f ca="1"/>
        <v>Campaign_C</v>
      </c>
      <c r="D16" t="str">
        <f ca="1"/>
        <v>Retargeting</v>
      </c>
      <c r="E16" t="str">
        <f ca="1"/>
        <v>Creative_2</v>
      </c>
      <c r="F16">
        <f ca="1"/>
        <v>204.13</v>
      </c>
      <c r="G16">
        <f ca="1"/>
        <v>19048</v>
      </c>
      <c r="H16">
        <f ca="1"/>
        <v>314</v>
      </c>
      <c r="I16">
        <f ca="1"/>
        <v>80</v>
      </c>
      <c r="J16">
        <f ca="1"/>
        <v>8</v>
      </c>
      <c r="K16">
        <f ca="1"/>
        <v>1072.1500000000001</v>
      </c>
      <c r="L16">
        <f ca="1"/>
        <v>1.6484670306593868E-2</v>
      </c>
      <c r="M16">
        <f ca="1"/>
        <v>2.5477707006369428E-2</v>
      </c>
      <c r="N16">
        <f ca="1"/>
        <v>0.6500955414012739</v>
      </c>
      <c r="O16">
        <f ca="1"/>
        <v>25.516249999999999</v>
      </c>
      <c r="P16">
        <f ca="1"/>
        <v>5.2522902072208888</v>
      </c>
    </row>
    <row r="17" spans="1:16">
      <c r="A17" s="1">
        <f ca="1"/>
        <v>46052</v>
      </c>
      <c r="B17" t="str">
        <f ca="1"/>
        <v>Meta</v>
      </c>
      <c r="C17" t="str">
        <f ca="1"/>
        <v>Campaign_C</v>
      </c>
      <c r="D17" t="str">
        <f ca="1"/>
        <v>Prospecting</v>
      </c>
      <c r="E17" t="str">
        <f ca="1"/>
        <v>Creative_2</v>
      </c>
      <c r="F17">
        <f ca="1"/>
        <v>179.13</v>
      </c>
      <c r="G17">
        <f ca="1"/>
        <v>2081</v>
      </c>
      <c r="H17">
        <f ca="1"/>
        <v>504</v>
      </c>
      <c r="I17">
        <f ca="1"/>
        <v>28</v>
      </c>
      <c r="J17">
        <f ca="1"/>
        <v>39</v>
      </c>
      <c r="K17">
        <f ca="1"/>
        <v>398.26</v>
      </c>
      <c r="L17">
        <f ca="1"/>
        <v>0.24219125420470927</v>
      </c>
      <c r="M17">
        <f ca="1"/>
        <v>7.7380952380952384E-2</v>
      </c>
      <c r="N17">
        <f ca="1"/>
        <v>0.35541666666666666</v>
      </c>
      <c r="O17">
        <f ca="1"/>
        <v>4.5930769230769233</v>
      </c>
      <c r="P17">
        <f ca="1"/>
        <v>2.2233015128677498</v>
      </c>
    </row>
    <row r="18" spans="1:16">
      <c r="A18" s="1">
        <f ca="1"/>
        <v>46037</v>
      </c>
      <c r="B18" t="str">
        <f ca="1"/>
        <v>Meta</v>
      </c>
      <c r="C18" t="str">
        <f ca="1"/>
        <v>Campaign_A</v>
      </c>
      <c r="D18" t="str">
        <f ca="1"/>
        <v>Retargeting</v>
      </c>
      <c r="E18" t="str">
        <f ca="1"/>
        <v>Creative_1</v>
      </c>
      <c r="F18">
        <f ca="1"/>
        <v>98.62</v>
      </c>
      <c r="G18">
        <f ca="1"/>
        <v>2679</v>
      </c>
      <c r="H18">
        <f ca="1"/>
        <v>1115</v>
      </c>
      <c r="I18">
        <f ca="1"/>
        <v>68</v>
      </c>
      <c r="J18">
        <f ca="1"/>
        <v>30</v>
      </c>
      <c r="K18">
        <f ca="1"/>
        <v>352.92</v>
      </c>
      <c r="L18">
        <f ca="1"/>
        <v>0.41620007465472192</v>
      </c>
      <c r="M18">
        <f ca="1"/>
        <v>2.6905829596412557E-2</v>
      </c>
      <c r="N18">
        <f ca="1"/>
        <v>8.8448430493273542E-2</v>
      </c>
      <c r="O18">
        <f ca="1"/>
        <v>3.2873333333333337</v>
      </c>
      <c r="P18">
        <f ca="1"/>
        <v>3.5785844656256338</v>
      </c>
    </row>
    <row r="19" spans="1:16">
      <c r="A19" s="1">
        <f ca="1"/>
        <v>46038</v>
      </c>
      <c r="B19" t="str">
        <f ca="1"/>
        <v>Meta</v>
      </c>
      <c r="C19" t="str">
        <f ca="1"/>
        <v>Campaign_C</v>
      </c>
      <c r="D19" t="str">
        <f ca="1"/>
        <v>Prospecting</v>
      </c>
      <c r="E19" t="str">
        <f ca="1"/>
        <v>Creative_1</v>
      </c>
      <c r="F19">
        <f ca="1"/>
        <v>26.81</v>
      </c>
      <c r="G19">
        <f ca="1"/>
        <v>4506</v>
      </c>
      <c r="H19">
        <f ca="1"/>
        <v>984</v>
      </c>
      <c r="I19">
        <f ca="1"/>
        <v>31</v>
      </c>
      <c r="J19">
        <f ca="1"/>
        <v>59</v>
      </c>
      <c r="K19">
        <f ca="1"/>
        <v>1405.61</v>
      </c>
      <c r="L19">
        <f ca="1"/>
        <v>0.21837549933422104</v>
      </c>
      <c r="M19">
        <f ca="1"/>
        <v>5.9959349593495935E-2</v>
      </c>
      <c r="N19">
        <f ca="1"/>
        <v>2.7245934959349592E-2</v>
      </c>
      <c r="O19">
        <f ca="1"/>
        <v>0.45440677966101695</v>
      </c>
      <c r="P19">
        <f ca="1"/>
        <v>52.428571428571431</v>
      </c>
    </row>
    <row r="20" spans="1:16">
      <c r="A20" s="1">
        <f ca="1"/>
        <v>46039</v>
      </c>
      <c r="B20" t="str">
        <f ca="1"/>
        <v>Meta</v>
      </c>
      <c r="C20" t="str">
        <f ca="1"/>
        <v>Campaign_B</v>
      </c>
      <c r="D20" t="str">
        <f ca="1"/>
        <v>Prospecting</v>
      </c>
      <c r="E20" t="str">
        <f ca="1"/>
        <v>Creative_3</v>
      </c>
      <c r="F20">
        <f ca="1"/>
        <v>200.73</v>
      </c>
      <c r="G20">
        <f ca="1"/>
        <v>14284</v>
      </c>
      <c r="H20">
        <f ca="1"/>
        <v>447</v>
      </c>
      <c r="I20">
        <f ca="1"/>
        <v>67</v>
      </c>
      <c r="J20">
        <f ca="1"/>
        <v>57</v>
      </c>
      <c r="K20">
        <f ca="1"/>
        <v>1704.44</v>
      </c>
      <c r="L20">
        <f ca="1"/>
        <v>3.1293755250630079E-2</v>
      </c>
      <c r="M20">
        <f ca="1"/>
        <v>0.12751677852348994</v>
      </c>
      <c r="N20">
        <f ca="1"/>
        <v>0.44906040268456371</v>
      </c>
      <c r="O20">
        <f ca="1"/>
        <v>3.5215789473684209</v>
      </c>
      <c r="P20">
        <f ca="1"/>
        <v>8.4912070941065121</v>
      </c>
    </row>
    <row r="21" spans="1:16">
      <c r="A21" s="1">
        <f ca="1"/>
        <v>46040</v>
      </c>
      <c r="B21" t="str">
        <f ca="1"/>
        <v>Meta</v>
      </c>
      <c r="C21" t="str">
        <f ca="1"/>
        <v>Campaign_A</v>
      </c>
      <c r="D21" t="str">
        <f ca="1"/>
        <v>Retargeting</v>
      </c>
      <c r="E21" t="str">
        <f ca="1"/>
        <v>Creative_2</v>
      </c>
      <c r="F21">
        <f ca="1"/>
        <v>69.59</v>
      </c>
      <c r="G21">
        <f ca="1"/>
        <v>8253</v>
      </c>
      <c r="H21">
        <f ca="1"/>
        <v>683</v>
      </c>
      <c r="I21">
        <f ca="1"/>
        <v>21</v>
      </c>
      <c r="J21">
        <f ca="1"/>
        <v>17</v>
      </c>
      <c r="K21">
        <f ca="1"/>
        <v>1524.27</v>
      </c>
      <c r="L21">
        <f ca="1"/>
        <v>8.2757785047861382E-2</v>
      </c>
      <c r="M21">
        <f ca="1"/>
        <v>2.4890190336749635E-2</v>
      </c>
      <c r="N21">
        <f ca="1"/>
        <v>0.1018887262079063</v>
      </c>
      <c r="O21">
        <f ca="1"/>
        <v>4.0935294117647061</v>
      </c>
      <c r="P21">
        <f ca="1"/>
        <v>21.903578100301765</v>
      </c>
    </row>
    <row r="22" spans="1:16">
      <c r="A22" s="1">
        <f ca="1"/>
        <v>46041</v>
      </c>
      <c r="B22" t="str">
        <f ca="1"/>
        <v>Meta</v>
      </c>
      <c r="C22" t="str">
        <f ca="1"/>
        <v>Campaign_B</v>
      </c>
      <c r="D22" t="str">
        <f ca="1"/>
        <v>Prospecting</v>
      </c>
      <c r="E22" t="str">
        <f ca="1"/>
        <v>Creative_2</v>
      </c>
      <c r="F22">
        <f ca="1"/>
        <v>283.33</v>
      </c>
      <c r="G22">
        <f ca="1"/>
        <v>10435</v>
      </c>
      <c r="H22">
        <f ca="1"/>
        <v>782</v>
      </c>
      <c r="I22">
        <f ca="1"/>
        <v>77</v>
      </c>
      <c r="J22">
        <f ca="1"/>
        <v>48</v>
      </c>
      <c r="K22">
        <f ca="1"/>
        <v>157.9</v>
      </c>
      <c r="L22">
        <f ca="1"/>
        <v>7.4940105414470534E-2</v>
      </c>
      <c r="M22">
        <f ca="1"/>
        <v>6.1381074168797956E-2</v>
      </c>
      <c r="N22">
        <f ca="1"/>
        <v>0.36231457800511507</v>
      </c>
      <c r="O22">
        <f ca="1"/>
        <v>5.902708333333333</v>
      </c>
      <c r="P22">
        <f ca="1"/>
        <v>0.55730067412557804</v>
      </c>
    </row>
    <row r="23" spans="1:16">
      <c r="A23" s="1">
        <f ca="1"/>
        <v>46042</v>
      </c>
      <c r="B23" t="str">
        <f ca="1"/>
        <v>Meta</v>
      </c>
      <c r="C23" t="str">
        <f ca="1"/>
        <v>Campaign_B</v>
      </c>
      <c r="D23" t="str">
        <f ca="1"/>
        <v>Prospecting</v>
      </c>
      <c r="E23" t="str">
        <f ca="1"/>
        <v>Creative_1</v>
      </c>
      <c r="F23">
        <f ca="1"/>
        <v>287.10000000000002</v>
      </c>
      <c r="G23">
        <f ca="1"/>
        <v>12310</v>
      </c>
      <c r="H23">
        <f ca="1"/>
        <v>284</v>
      </c>
      <c r="I23">
        <f ca="1"/>
        <v>37</v>
      </c>
      <c r="J23">
        <f ca="1"/>
        <v>47</v>
      </c>
      <c r="K23">
        <f ca="1"/>
        <v>1747.71</v>
      </c>
      <c r="L23">
        <f ca="1"/>
        <v>2.307067424857839E-2</v>
      </c>
      <c r="M23">
        <f ca="1"/>
        <v>0.16549295774647887</v>
      </c>
      <c r="N23">
        <f ca="1"/>
        <v>1.0109154929577466</v>
      </c>
      <c r="O23">
        <f ca="1"/>
        <v>6.1085106382978731</v>
      </c>
      <c r="P23">
        <f ca="1"/>
        <v>6.087460815047022</v>
      </c>
    </row>
    <row r="24" spans="1:16">
      <c r="A24" s="1">
        <f ca="1"/>
        <v>46043</v>
      </c>
      <c r="B24" t="str">
        <f ca="1"/>
        <v>Meta</v>
      </c>
      <c r="C24" t="str">
        <f ca="1"/>
        <v>Campaign_B</v>
      </c>
      <c r="D24" t="str">
        <f ca="1"/>
        <v>Prospecting</v>
      </c>
      <c r="E24" t="str">
        <f ca="1"/>
        <v>Creative_2</v>
      </c>
      <c r="F24">
        <f ca="1"/>
        <v>276.16000000000003</v>
      </c>
      <c r="G24">
        <f ca="1"/>
        <v>14296</v>
      </c>
      <c r="H24">
        <f ca="1"/>
        <v>707</v>
      </c>
      <c r="I24">
        <f ca="1"/>
        <v>88</v>
      </c>
      <c r="J24">
        <f ca="1"/>
        <v>23</v>
      </c>
      <c r="K24">
        <f ca="1"/>
        <v>772.88</v>
      </c>
      <c r="L24">
        <f ca="1"/>
        <v>4.9454392837157246E-2</v>
      </c>
      <c r="M24">
        <f ca="1"/>
        <v>3.2531824611032531E-2</v>
      </c>
      <c r="N24">
        <f ca="1"/>
        <v>0.39060820367751065</v>
      </c>
      <c r="O24">
        <f ca="1"/>
        <v>12.006956521739131</v>
      </c>
      <c r="P24">
        <f ca="1"/>
        <v>2.7986674391657007</v>
      </c>
    </row>
    <row r="25" spans="1:16">
      <c r="A25" s="1">
        <f ca="1"/>
        <v>46044</v>
      </c>
      <c r="B25" t="str">
        <f ca="1"/>
        <v>Meta</v>
      </c>
      <c r="C25" t="str">
        <f ca="1"/>
        <v>Campaign_A</v>
      </c>
      <c r="D25" t="str">
        <f ca="1"/>
        <v>Prospecting</v>
      </c>
      <c r="E25" t="str">
        <f ca="1"/>
        <v>Creative_2</v>
      </c>
      <c r="F25">
        <f ca="1"/>
        <v>123.64</v>
      </c>
      <c r="G25">
        <f ca="1"/>
        <v>19525</v>
      </c>
      <c r="H25">
        <f ca="1"/>
        <v>800</v>
      </c>
      <c r="I25">
        <f ca="1"/>
        <v>81</v>
      </c>
      <c r="J25">
        <f ca="1"/>
        <v>15</v>
      </c>
      <c r="K25">
        <f ca="1"/>
        <v>854.61</v>
      </c>
      <c r="L25">
        <f ca="1"/>
        <v>4.0973111395646605E-2</v>
      </c>
      <c r="M25">
        <f ca="1"/>
        <v>1.8749999999999999E-2</v>
      </c>
      <c r="N25">
        <f ca="1"/>
        <v>0.15454999999999999</v>
      </c>
      <c r="O25">
        <f ca="1"/>
        <v>8.2426666666666666</v>
      </c>
      <c r="P25">
        <f ca="1"/>
        <v>6.9120834681332903</v>
      </c>
    </row>
    <row r="26" spans="1:16">
      <c r="A26" s="1">
        <f ca="1"/>
        <v>46045</v>
      </c>
      <c r="B26" t="str">
        <f ca="1"/>
        <v>Meta</v>
      </c>
      <c r="C26" t="str">
        <f ca="1"/>
        <v>Campaign_B</v>
      </c>
      <c r="D26" t="str">
        <f ca="1"/>
        <v>Prospecting</v>
      </c>
      <c r="E26" t="str">
        <f ca="1"/>
        <v>Creative_3</v>
      </c>
      <c r="F26">
        <f ca="1"/>
        <v>24.33</v>
      </c>
      <c r="G26">
        <f ca="1"/>
        <v>14245</v>
      </c>
      <c r="H26">
        <f ca="1"/>
        <v>637</v>
      </c>
      <c r="I26">
        <f ca="1"/>
        <v>96</v>
      </c>
      <c r="J26">
        <f ca="1"/>
        <v>37</v>
      </c>
      <c r="K26">
        <f ca="1"/>
        <v>299.25</v>
      </c>
      <c r="L26">
        <f ca="1"/>
        <v>4.4717444717444717E-2</v>
      </c>
      <c r="M26">
        <f ca="1"/>
        <v>5.8084772370486655E-2</v>
      </c>
      <c r="N26">
        <f ca="1"/>
        <v>3.8194662480376763E-2</v>
      </c>
      <c r="O26">
        <f ca="1"/>
        <v>0.65756756756756751</v>
      </c>
      <c r="P26">
        <f ca="1"/>
        <v>12.299630086313195</v>
      </c>
    </row>
    <row r="27" spans="1:16">
      <c r="A27" s="1">
        <f ca="1"/>
        <v>46046</v>
      </c>
      <c r="B27" t="str">
        <f ca="1"/>
        <v>Meta</v>
      </c>
      <c r="C27" t="str">
        <f ca="1"/>
        <v>Campaign_A</v>
      </c>
      <c r="D27" t="str">
        <f ca="1"/>
        <v>Retargeting</v>
      </c>
      <c r="E27" t="str">
        <f ca="1"/>
        <v>Creative_3</v>
      </c>
      <c r="F27">
        <f ca="1"/>
        <v>279.93</v>
      </c>
      <c r="G27">
        <f ca="1"/>
        <v>12151</v>
      </c>
      <c r="H27">
        <f ca="1"/>
        <v>1082</v>
      </c>
      <c r="I27">
        <f ca="1"/>
        <v>116</v>
      </c>
      <c r="J27">
        <f ca="1"/>
        <v>21</v>
      </c>
      <c r="K27">
        <f ca="1"/>
        <v>1501.07</v>
      </c>
      <c r="L27">
        <f ca="1"/>
        <v>8.9046169039585218E-2</v>
      </c>
      <c r="M27">
        <f ca="1"/>
        <v>1.9408502772643253E-2</v>
      </c>
      <c r="N27">
        <f ca="1"/>
        <v>0.2587153419593346</v>
      </c>
      <c r="O27">
        <f ca="1"/>
        <v>13.33</v>
      </c>
      <c r="P27">
        <f ca="1"/>
        <v>5.3623048619297675</v>
      </c>
    </row>
    <row r="28" spans="1:16">
      <c r="A28" s="1">
        <f ca="1"/>
        <v>46047</v>
      </c>
      <c r="B28" t="str">
        <f ca="1"/>
        <v>Meta</v>
      </c>
      <c r="C28" t="str">
        <f ca="1"/>
        <v>Campaign_B</v>
      </c>
      <c r="D28" t="str">
        <f ca="1"/>
        <v>Retargeting</v>
      </c>
      <c r="E28" t="str">
        <f ca="1"/>
        <v>Creative_3</v>
      </c>
      <c r="F28">
        <f ca="1"/>
        <v>139.88999999999999</v>
      </c>
      <c r="G28">
        <f ca="1"/>
        <v>11457</v>
      </c>
      <c r="H28">
        <f ca="1"/>
        <v>1147</v>
      </c>
      <c r="I28">
        <f ca="1"/>
        <v>33</v>
      </c>
      <c r="J28">
        <f ca="1"/>
        <v>14</v>
      </c>
      <c r="K28">
        <f ca="1"/>
        <v>446.34</v>
      </c>
      <c r="L28">
        <f ca="1"/>
        <v>0.10011346774897442</v>
      </c>
      <c r="M28">
        <f ca="1"/>
        <v>1.2205754141238012E-2</v>
      </c>
      <c r="N28">
        <f ca="1"/>
        <v>0.12196163905841324</v>
      </c>
      <c r="O28">
        <f ca="1"/>
        <v>9.9921428571428557</v>
      </c>
      <c r="P28">
        <f ca="1"/>
        <v>3.190649796268497</v>
      </c>
    </row>
    <row r="29" spans="1:16">
      <c r="A29" s="1">
        <f ca="1"/>
        <v>46048</v>
      </c>
      <c r="B29" t="str">
        <f ca="1"/>
        <v>Meta</v>
      </c>
      <c r="C29" t="str">
        <f ca="1"/>
        <v>Campaign_C</v>
      </c>
      <c r="D29" t="str">
        <f ca="1"/>
        <v>Retargeting</v>
      </c>
      <c r="E29" t="str">
        <f ca="1"/>
        <v>Creative_3</v>
      </c>
      <c r="F29">
        <f ca="1"/>
        <v>290.66000000000003</v>
      </c>
      <c r="G29">
        <f ca="1"/>
        <v>3479</v>
      </c>
      <c r="H29">
        <f ca="1"/>
        <v>1003</v>
      </c>
      <c r="I29">
        <f ca="1"/>
        <v>17</v>
      </c>
      <c r="J29">
        <f ca="1"/>
        <v>2</v>
      </c>
      <c r="K29">
        <f ca="1"/>
        <v>1171.53</v>
      </c>
      <c r="L29">
        <f ca="1"/>
        <v>0.28830123598735269</v>
      </c>
      <c r="M29">
        <f ca="1"/>
        <v>1.9940179461615153E-3</v>
      </c>
      <c r="N29">
        <f ca="1"/>
        <v>0.28979062811565309</v>
      </c>
      <c r="O29">
        <f ca="1"/>
        <v>145.33000000000001</v>
      </c>
      <c r="P29">
        <f ca="1"/>
        <v>4.0305855638890797</v>
      </c>
    </row>
    <row r="30" spans="1:16">
      <c r="A30" s="1">
        <f ca="1"/>
        <v>46049</v>
      </c>
      <c r="B30" t="str">
        <f ca="1"/>
        <v>Meta</v>
      </c>
      <c r="C30" t="str">
        <f ca="1"/>
        <v>Campaign_C</v>
      </c>
      <c r="D30" t="str">
        <f ca="1"/>
        <v>Prospecting</v>
      </c>
      <c r="E30" t="str">
        <f ca="1"/>
        <v>Creative_1</v>
      </c>
      <c r="F30">
        <f ca="1"/>
        <v>289.81</v>
      </c>
      <c r="G30">
        <f ca="1"/>
        <v>5452</v>
      </c>
      <c r="H30">
        <f ca="1"/>
        <v>541</v>
      </c>
      <c r="I30">
        <f ca="1"/>
        <v>50</v>
      </c>
      <c r="J30">
        <f ca="1"/>
        <v>11</v>
      </c>
      <c r="K30">
        <f ca="1"/>
        <v>1697.35</v>
      </c>
      <c r="L30">
        <f ca="1"/>
        <v>9.9229640498899485E-2</v>
      </c>
      <c r="M30">
        <f ca="1"/>
        <v>2.0332717190388171E-2</v>
      </c>
      <c r="N30">
        <f ca="1"/>
        <v>0.53569316081330864</v>
      </c>
      <c r="O30">
        <f ca="1"/>
        <v>26.346363636363638</v>
      </c>
      <c r="P30">
        <f ca="1"/>
        <v>5.8567682274593693</v>
      </c>
    </row>
    <row r="31" spans="1:16">
      <c r="A31" s="1">
        <f ca="1"/>
        <v>46050</v>
      </c>
      <c r="B31" t="str">
        <f ca="1"/>
        <v>Meta</v>
      </c>
      <c r="C31" t="str">
        <f ca="1"/>
        <v>Campaign_A</v>
      </c>
      <c r="D31" t="str">
        <f ca="1"/>
        <v>Prospecting</v>
      </c>
      <c r="E31" t="str">
        <f ca="1"/>
        <v>Creative_3</v>
      </c>
      <c r="F31">
        <f ca="1"/>
        <v>258.83999999999997</v>
      </c>
      <c r="G31">
        <f ca="1"/>
        <v>6881</v>
      </c>
      <c r="H31">
        <f ca="1"/>
        <v>962</v>
      </c>
      <c r="I31">
        <f ca="1"/>
        <v>39</v>
      </c>
      <c r="J31">
        <f ca="1"/>
        <v>51</v>
      </c>
      <c r="K31">
        <f ca="1"/>
        <v>269.49</v>
      </c>
      <c r="L31">
        <f ca="1"/>
        <v>0.13980526086324663</v>
      </c>
      <c r="M31">
        <f ca="1"/>
        <v>5.3014553014553017E-2</v>
      </c>
      <c r="N31">
        <f ca="1"/>
        <v>0.26906444906444904</v>
      </c>
      <c r="O31">
        <f ca="1"/>
        <v>5.0752941176470587</v>
      </c>
      <c r="P31">
        <f ca="1"/>
        <v>1.0411451089476125</v>
      </c>
    </row>
    <row r="32" spans="1:16">
      <c r="A32" s="1">
        <f ca="1"/>
        <v>46051</v>
      </c>
      <c r="B32" t="str">
        <f ca="1"/>
        <v>Meta</v>
      </c>
      <c r="C32" t="str">
        <f ca="1"/>
        <v>Campaign_C</v>
      </c>
      <c r="D32" t="str">
        <f ca="1"/>
        <v>Prospecting</v>
      </c>
      <c r="E32" t="str">
        <f ca="1"/>
        <v>Creative_2</v>
      </c>
      <c r="F32">
        <f ca="1"/>
        <v>102.45</v>
      </c>
      <c r="G32">
        <f ca="1"/>
        <v>15069</v>
      </c>
      <c r="H32">
        <f ca="1"/>
        <v>219</v>
      </c>
      <c r="I32">
        <f ca="1"/>
        <v>10</v>
      </c>
      <c r="J32">
        <f ca="1"/>
        <v>39</v>
      </c>
      <c r="K32">
        <f ca="1"/>
        <v>1117.1400000000001</v>
      </c>
      <c r="L32">
        <f ca="1"/>
        <v>1.4533147521401554E-2</v>
      </c>
      <c r="M32">
        <f ca="1"/>
        <v>0.17808219178082191</v>
      </c>
      <c r="N32">
        <f ca="1"/>
        <v>0.46780821917808219</v>
      </c>
      <c r="O32">
        <f ca="1"/>
        <v>2.6269230769230769</v>
      </c>
      <c r="P32">
        <f ca="1"/>
        <v>10.904245973645681</v>
      </c>
    </row>
    <row r="33" spans="1:16">
      <c r="A33" s="1">
        <f ca="1"/>
        <v>46052</v>
      </c>
      <c r="B33" t="str">
        <f ca="1"/>
        <v>Meta</v>
      </c>
      <c r="C33" t="str">
        <f ca="1"/>
        <v>Campaign_C</v>
      </c>
      <c r="D33" t="str">
        <f ca="1"/>
        <v>Retargeting</v>
      </c>
      <c r="E33" t="str">
        <f ca="1"/>
        <v>Creative_1</v>
      </c>
      <c r="F33">
        <f ca="1"/>
        <v>127.83</v>
      </c>
      <c r="G33">
        <f ca="1"/>
        <v>3849</v>
      </c>
      <c r="H33">
        <f ca="1"/>
        <v>995</v>
      </c>
      <c r="I33">
        <f ca="1"/>
        <v>86</v>
      </c>
      <c r="J33">
        <f ca="1"/>
        <v>38</v>
      </c>
      <c r="K33">
        <f ca="1"/>
        <v>543.11</v>
      </c>
      <c r="L33">
        <f ca="1"/>
        <v>0.25850870355936606</v>
      </c>
      <c r="M33">
        <f ca="1"/>
        <v>3.819095477386935E-2</v>
      </c>
      <c r="N33">
        <f ca="1"/>
        <v>0.12847236180904523</v>
      </c>
      <c r="O33">
        <f ca="1"/>
        <v>3.3639473684210528</v>
      </c>
      <c r="P33">
        <f ca="1"/>
        <v>4.2486896659626066</v>
      </c>
    </row>
    <row r="34" spans="1:16">
      <c r="A34" s="1">
        <f ca="1"/>
        <v>46037</v>
      </c>
      <c r="B34" t="str">
        <f ca="1"/>
        <v>Meta</v>
      </c>
      <c r="C34" t="str">
        <f ca="1"/>
        <v>Campaign_B</v>
      </c>
      <c r="D34" t="str">
        <f ca="1"/>
        <v>Retargeting</v>
      </c>
      <c r="E34" t="str">
        <f ca="1"/>
        <v>Creative_3</v>
      </c>
      <c r="F34">
        <f ca="1"/>
        <v>215.16</v>
      </c>
      <c r="G34">
        <f ca="1"/>
        <v>3427</v>
      </c>
      <c r="H34">
        <f ca="1"/>
        <v>1199</v>
      </c>
      <c r="I34">
        <f ca="1"/>
        <v>100</v>
      </c>
      <c r="J34">
        <f ca="1"/>
        <v>24</v>
      </c>
      <c r="K34">
        <f ca="1"/>
        <v>564.27</v>
      </c>
      <c r="L34">
        <f ca="1"/>
        <v>0.34986868981616576</v>
      </c>
      <c r="M34">
        <f ca="1"/>
        <v>2.0016680567139282E-2</v>
      </c>
      <c r="N34">
        <f ca="1"/>
        <v>0.17944954128440366</v>
      </c>
      <c r="O34">
        <f ca="1"/>
        <v>8.9649999999999999</v>
      </c>
      <c r="P34">
        <f ca="1"/>
        <v>2.6225599553820413</v>
      </c>
    </row>
    <row r="35" spans="1:16">
      <c r="A35" s="1">
        <f ca="1"/>
        <v>46038</v>
      </c>
      <c r="B35" t="str">
        <f ca="1"/>
        <v>Meta</v>
      </c>
      <c r="C35" t="str">
        <f ca="1"/>
        <v>Campaign_B</v>
      </c>
      <c r="D35" t="str">
        <f ca="1"/>
        <v>Prospecting</v>
      </c>
      <c r="E35" t="str">
        <f ca="1"/>
        <v>Creative_3</v>
      </c>
      <c r="F35">
        <f ca="1"/>
        <v>216.7</v>
      </c>
      <c r="G35">
        <f ca="1"/>
        <v>5000</v>
      </c>
      <c r="H35">
        <f ca="1"/>
        <v>222</v>
      </c>
      <c r="I35">
        <f ca="1"/>
        <v>115</v>
      </c>
      <c r="J35">
        <f ca="1"/>
        <v>15</v>
      </c>
      <c r="K35">
        <f ca="1"/>
        <v>1046.67</v>
      </c>
      <c r="L35">
        <f ca="1"/>
        <v>4.4400000000000002E-2</v>
      </c>
      <c r="M35">
        <f ca="1"/>
        <v>6.7567567567567571E-2</v>
      </c>
      <c r="N35">
        <f ca="1"/>
        <v>0.97612612612612604</v>
      </c>
      <c r="O35">
        <f ca="1"/>
        <v>14.446666666666665</v>
      </c>
      <c r="P35">
        <f ca="1"/>
        <v>4.8300415320719896</v>
      </c>
    </row>
    <row r="36" spans="1:16">
      <c r="A36" s="1">
        <f ca="1"/>
        <v>46039</v>
      </c>
      <c r="B36" t="str">
        <f ca="1"/>
        <v>Meta</v>
      </c>
      <c r="C36" t="str">
        <f ca="1"/>
        <v>Campaign_B</v>
      </c>
      <c r="D36" t="str">
        <f ca="1"/>
        <v>Retargeting</v>
      </c>
      <c r="E36" t="str">
        <f ca="1"/>
        <v>Creative_3</v>
      </c>
      <c r="F36">
        <f ca="1"/>
        <v>120.66</v>
      </c>
      <c r="G36">
        <f ca="1"/>
        <v>6052</v>
      </c>
      <c r="H36">
        <f ca="1"/>
        <v>702</v>
      </c>
      <c r="I36">
        <f ca="1"/>
        <v>53</v>
      </c>
      <c r="J36">
        <f ca="1"/>
        <v>30</v>
      </c>
      <c r="K36">
        <f ca="1"/>
        <v>727.66</v>
      </c>
      <c r="L36">
        <f ca="1"/>
        <v>0.11599471249173827</v>
      </c>
      <c r="M36">
        <f ca="1"/>
        <v>4.2735042735042736E-2</v>
      </c>
      <c r="N36">
        <f ca="1"/>
        <v>0.17188034188034187</v>
      </c>
      <c r="O36">
        <f ca="1"/>
        <v>4.0220000000000002</v>
      </c>
      <c r="P36">
        <f ca="1"/>
        <v>6.0306646776064978</v>
      </c>
    </row>
    <row r="37" spans="1:16">
      <c r="A37" s="1">
        <f ca="1"/>
        <v>46040</v>
      </c>
      <c r="B37" t="str">
        <f ca="1"/>
        <v>Meta</v>
      </c>
      <c r="C37" t="str">
        <f ca="1"/>
        <v>Campaign_C</v>
      </c>
      <c r="D37" t="str">
        <f ca="1"/>
        <v>Prospecting</v>
      </c>
      <c r="E37" t="str">
        <f ca="1"/>
        <v>Creative_3</v>
      </c>
      <c r="F37">
        <f ca="1"/>
        <v>102.21</v>
      </c>
      <c r="G37">
        <f ca="1"/>
        <v>3738</v>
      </c>
      <c r="H37">
        <f ca="1"/>
        <v>803</v>
      </c>
      <c r="I37">
        <f ca="1"/>
        <v>15</v>
      </c>
      <c r="J37">
        <f ca="1"/>
        <v>55</v>
      </c>
      <c r="K37">
        <f ca="1"/>
        <v>1874.01</v>
      </c>
      <c r="L37">
        <f ca="1"/>
        <v>0.21482075976457998</v>
      </c>
      <c r="M37">
        <f ca="1"/>
        <v>6.8493150684931503E-2</v>
      </c>
      <c r="N37">
        <f ca="1"/>
        <v>0.12728518057285179</v>
      </c>
      <c r="O37">
        <f ca="1"/>
        <v>1.8583636363636362</v>
      </c>
      <c r="P37">
        <f ca="1"/>
        <v>18.334898737892576</v>
      </c>
    </row>
    <row r="38" spans="1:16">
      <c r="A38" s="1">
        <f ca="1"/>
        <v>46041</v>
      </c>
      <c r="B38" t="str">
        <f ca="1"/>
        <v>Meta</v>
      </c>
      <c r="C38" t="str">
        <f ca="1"/>
        <v>Campaign_C</v>
      </c>
      <c r="D38" t="str">
        <f ca="1"/>
        <v>Prospecting</v>
      </c>
      <c r="E38" t="str">
        <f ca="1"/>
        <v>Creative_1</v>
      </c>
      <c r="F38">
        <f ca="1"/>
        <v>246.62</v>
      </c>
      <c r="G38">
        <f ca="1"/>
        <v>6387</v>
      </c>
      <c r="H38">
        <f ca="1"/>
        <v>1131</v>
      </c>
      <c r="I38">
        <f ca="1"/>
        <v>89</v>
      </c>
      <c r="J38">
        <f ca="1"/>
        <v>42</v>
      </c>
      <c r="K38">
        <f ca="1"/>
        <v>114.32</v>
      </c>
      <c r="L38">
        <f ca="1"/>
        <v>0.17707844058243308</v>
      </c>
      <c r="M38">
        <f ca="1"/>
        <v>3.7135278514588858E-2</v>
      </c>
      <c r="N38">
        <f ca="1"/>
        <v>0.21805481874447391</v>
      </c>
      <c r="O38">
        <f ca="1"/>
        <v>5.8719047619047622</v>
      </c>
      <c r="P38">
        <f ca="1"/>
        <v>0.46354715757035109</v>
      </c>
    </row>
    <row r="39" spans="1:16">
      <c r="A39" s="1">
        <f ca="1"/>
        <v>46042</v>
      </c>
      <c r="B39" t="str">
        <f ca="1"/>
        <v>Meta</v>
      </c>
      <c r="C39" t="str">
        <f ca="1"/>
        <v>Campaign_B</v>
      </c>
      <c r="D39" t="str">
        <f ca="1"/>
        <v>Prospecting</v>
      </c>
      <c r="E39" t="str">
        <f ca="1"/>
        <v>Creative_1</v>
      </c>
      <c r="F39">
        <f ca="1"/>
        <v>246.83</v>
      </c>
      <c r="G39">
        <f ca="1"/>
        <v>9002</v>
      </c>
      <c r="H39">
        <f ca="1"/>
        <v>525</v>
      </c>
      <c r="I39">
        <f ca="1"/>
        <v>30</v>
      </c>
      <c r="J39">
        <f ca="1"/>
        <v>51</v>
      </c>
      <c r="K39">
        <f ca="1"/>
        <v>528.13</v>
      </c>
      <c r="L39">
        <f ca="1"/>
        <v>5.8320373250388802E-2</v>
      </c>
      <c r="M39">
        <f ca="1"/>
        <v>9.7142857142857142E-2</v>
      </c>
      <c r="N39">
        <f ca="1"/>
        <v>0.47015238095238099</v>
      </c>
      <c r="O39">
        <f ca="1"/>
        <v>4.8398039215686275</v>
      </c>
      <c r="P39">
        <f ca="1"/>
        <v>2.1396507717862496</v>
      </c>
    </row>
    <row r="40" spans="1:16">
      <c r="A40" s="1">
        <f ca="1"/>
        <v>46043</v>
      </c>
      <c r="B40" t="str">
        <f ca="1"/>
        <v>Meta</v>
      </c>
      <c r="C40" t="str">
        <f ca="1"/>
        <v>Campaign_C</v>
      </c>
      <c r="D40" t="str">
        <f ca="1"/>
        <v>Retargeting</v>
      </c>
      <c r="E40" t="str">
        <f ca="1"/>
        <v>Creative_3</v>
      </c>
      <c r="F40">
        <f ca="1"/>
        <v>262.77999999999997</v>
      </c>
      <c r="G40">
        <f ca="1"/>
        <v>6536</v>
      </c>
      <c r="H40">
        <f ca="1"/>
        <v>505</v>
      </c>
      <c r="I40">
        <f ca="1"/>
        <v>67</v>
      </c>
      <c r="J40">
        <f ca="1"/>
        <v>17</v>
      </c>
      <c r="K40">
        <f ca="1"/>
        <v>794.18</v>
      </c>
      <c r="L40">
        <f ca="1"/>
        <v>7.7264381884944916E-2</v>
      </c>
      <c r="M40">
        <f ca="1"/>
        <v>3.3663366336633666E-2</v>
      </c>
      <c r="N40">
        <f ca="1"/>
        <v>0.52035643564356426</v>
      </c>
      <c r="O40">
        <f ca="1"/>
        <v>15.457647058823527</v>
      </c>
      <c r="P40">
        <f ca="1"/>
        <v>3.0222239135398432</v>
      </c>
    </row>
    <row r="41" spans="1:16">
      <c r="A41" s="1">
        <f ca="1"/>
        <v>46044</v>
      </c>
      <c r="B41" t="str">
        <f ca="1"/>
        <v>Meta</v>
      </c>
      <c r="C41" t="str">
        <f ca="1"/>
        <v>Campaign_A</v>
      </c>
      <c r="D41" t="str">
        <f ca="1"/>
        <v>Retargeting</v>
      </c>
      <c r="E41" t="str">
        <f ca="1"/>
        <v>Creative_2</v>
      </c>
      <c r="F41">
        <f ca="1"/>
        <v>275.70999999999998</v>
      </c>
      <c r="G41">
        <f ca="1"/>
        <v>14479</v>
      </c>
      <c r="H41">
        <f ca="1"/>
        <v>878</v>
      </c>
      <c r="I41">
        <f ca="1"/>
        <v>93</v>
      </c>
      <c r="J41">
        <f ca="1"/>
        <v>5</v>
      </c>
      <c r="K41">
        <f ca="1"/>
        <v>1026.8399999999999</v>
      </c>
      <c r="L41">
        <f ca="1"/>
        <v>6.0639546930036606E-2</v>
      </c>
      <c r="M41">
        <f ca="1"/>
        <v>5.6947608200455585E-3</v>
      </c>
      <c r="N41">
        <f ca="1"/>
        <v>0.31402050113895214</v>
      </c>
      <c r="O41">
        <f ca="1"/>
        <v>55.141999999999996</v>
      </c>
      <c r="P41">
        <f ca="1"/>
        <v>3.7243480468608321</v>
      </c>
    </row>
    <row r="42" spans="1:16">
      <c r="A42" s="1">
        <f ca="1"/>
        <v>46045</v>
      </c>
      <c r="B42" t="str">
        <f ca="1"/>
        <v>Meta</v>
      </c>
      <c r="C42" t="str">
        <f ca="1"/>
        <v>Campaign_B</v>
      </c>
      <c r="D42" t="str">
        <f ca="1"/>
        <v>Retargeting</v>
      </c>
      <c r="E42" t="str">
        <f ca="1"/>
        <v>Creative_1</v>
      </c>
      <c r="F42">
        <f ca="1"/>
        <v>163.18</v>
      </c>
      <c r="G42">
        <f ca="1"/>
        <v>4913</v>
      </c>
      <c r="H42">
        <f ca="1"/>
        <v>944</v>
      </c>
      <c r="I42">
        <f ca="1"/>
        <v>90</v>
      </c>
      <c r="J42">
        <f ca="1"/>
        <v>29</v>
      </c>
      <c r="K42">
        <f ca="1"/>
        <v>1716.55</v>
      </c>
      <c r="L42">
        <f ca="1"/>
        <v>0.19214329330348057</v>
      </c>
      <c r="M42">
        <f ca="1"/>
        <v>3.0720338983050849E-2</v>
      </c>
      <c r="N42">
        <f ca="1"/>
        <v>0.17286016949152544</v>
      </c>
      <c r="O42">
        <f ca="1"/>
        <v>5.6268965517241378</v>
      </c>
      <c r="P42">
        <f ca="1"/>
        <v>10.519365118274298</v>
      </c>
    </row>
    <row r="43" spans="1:16">
      <c r="A43" s="1">
        <f ca="1"/>
        <v>46046</v>
      </c>
      <c r="B43" t="str">
        <f ca="1"/>
        <v>Meta</v>
      </c>
      <c r="C43" t="str">
        <f ca="1"/>
        <v>Campaign_A</v>
      </c>
      <c r="D43" t="str">
        <f ca="1"/>
        <v>Retargeting</v>
      </c>
      <c r="E43" t="str">
        <f ca="1"/>
        <v>Creative_3</v>
      </c>
      <c r="F43">
        <f ca="1"/>
        <v>160.41999999999999</v>
      </c>
      <c r="G43">
        <f ca="1"/>
        <v>18450</v>
      </c>
      <c r="H43">
        <f ca="1"/>
        <v>1074</v>
      </c>
      <c r="I43">
        <f ca="1"/>
        <v>63</v>
      </c>
      <c r="J43">
        <f ca="1"/>
        <v>4</v>
      </c>
      <c r="K43">
        <f ca="1"/>
        <v>266.99</v>
      </c>
      <c r="L43">
        <f ca="1"/>
        <v>5.8211382113821139E-2</v>
      </c>
      <c r="M43">
        <f ca="1"/>
        <v>3.7243947858472998E-3</v>
      </c>
      <c r="N43">
        <f ca="1"/>
        <v>0.14936685288640594</v>
      </c>
      <c r="O43">
        <f ca="1"/>
        <v>40.104999999999997</v>
      </c>
      <c r="P43">
        <f ca="1"/>
        <v>1.6643186635082909</v>
      </c>
    </row>
    <row r="44" spans="1:16">
      <c r="A44" s="1">
        <f ca="1"/>
        <v>46047</v>
      </c>
      <c r="B44" t="str">
        <f ca="1"/>
        <v>Meta</v>
      </c>
      <c r="C44" t="str">
        <f ca="1"/>
        <v>Campaign_A</v>
      </c>
      <c r="D44" t="str">
        <f ca="1"/>
        <v>Prospecting</v>
      </c>
      <c r="E44" t="str">
        <f ca="1"/>
        <v>Creative_1</v>
      </c>
      <c r="F44">
        <f ca="1"/>
        <v>243.52</v>
      </c>
      <c r="G44">
        <f ca="1"/>
        <v>11636</v>
      </c>
      <c r="H44">
        <f ca="1"/>
        <v>436</v>
      </c>
      <c r="I44">
        <f ca="1"/>
        <v>31</v>
      </c>
      <c r="J44">
        <f ca="1"/>
        <v>10</v>
      </c>
      <c r="K44">
        <f ca="1"/>
        <v>1631.14</v>
      </c>
      <c r="L44">
        <f ca="1"/>
        <v>3.7469920935029218E-2</v>
      </c>
      <c r="M44">
        <f ca="1"/>
        <v>2.2935779816513763E-2</v>
      </c>
      <c r="N44">
        <f ca="1"/>
        <v>0.55853211009174319</v>
      </c>
      <c r="O44">
        <f ca="1"/>
        <v>24.352</v>
      </c>
      <c r="P44">
        <f ca="1"/>
        <v>6.6981767411300925</v>
      </c>
    </row>
    <row r="45" spans="1:16">
      <c r="A45" s="1">
        <f ca="1"/>
        <v>46048</v>
      </c>
      <c r="B45" t="str">
        <f ca="1"/>
        <v>Meta</v>
      </c>
      <c r="C45" t="str">
        <f ca="1"/>
        <v>Campaign_B</v>
      </c>
      <c r="D45" t="str">
        <f ca="1"/>
        <v>Retargeting</v>
      </c>
      <c r="E45" t="str">
        <f ca="1"/>
        <v>Creative_1</v>
      </c>
      <c r="F45">
        <f ca="1"/>
        <v>201.99</v>
      </c>
      <c r="G45">
        <f ca="1"/>
        <v>6726</v>
      </c>
      <c r="H45">
        <f ca="1"/>
        <v>397</v>
      </c>
      <c r="I45">
        <f ca="1"/>
        <v>53</v>
      </c>
      <c r="J45">
        <f ca="1"/>
        <v>56</v>
      </c>
      <c r="K45">
        <f ca="1"/>
        <v>205.74</v>
      </c>
      <c r="L45">
        <f ca="1"/>
        <v>5.9024680344930122E-2</v>
      </c>
      <c r="M45">
        <f ca="1"/>
        <v>0.14105793450881612</v>
      </c>
      <c r="N45">
        <f ca="1"/>
        <v>0.50879093198992442</v>
      </c>
      <c r="O45">
        <f ca="1"/>
        <v>3.6069642857142861</v>
      </c>
      <c r="P45">
        <f ca="1"/>
        <v>1.0185652755086885</v>
      </c>
    </row>
    <row r="46" spans="1:16">
      <c r="A46" s="1">
        <f ca="1"/>
        <v>46049</v>
      </c>
      <c r="B46" t="str">
        <f ca="1"/>
        <v>Meta</v>
      </c>
      <c r="C46" t="str">
        <f ca="1"/>
        <v>Campaign_C</v>
      </c>
      <c r="D46" t="str">
        <f ca="1"/>
        <v>Prospecting</v>
      </c>
      <c r="E46" t="str">
        <f ca="1"/>
        <v>Creative_2</v>
      </c>
      <c r="F46">
        <f ca="1"/>
        <v>216.55</v>
      </c>
      <c r="G46">
        <f ca="1"/>
        <v>4373</v>
      </c>
      <c r="H46">
        <f ca="1"/>
        <v>239</v>
      </c>
      <c r="I46">
        <f ca="1"/>
        <v>81</v>
      </c>
      <c r="J46">
        <f ca="1"/>
        <v>17</v>
      </c>
      <c r="K46">
        <f ca="1"/>
        <v>1700.4</v>
      </c>
      <c r="L46">
        <f ca="1"/>
        <v>5.4653555911273723E-2</v>
      </c>
      <c r="M46">
        <f ca="1"/>
        <v>7.1129707112970716E-2</v>
      </c>
      <c r="N46">
        <f ca="1"/>
        <v>0.90606694560669465</v>
      </c>
      <c r="O46">
        <f ca="1"/>
        <v>12.738235294117647</v>
      </c>
      <c r="P46">
        <f ca="1"/>
        <v>7.8522281228353732</v>
      </c>
    </row>
    <row r="47" spans="1:16">
      <c r="A47" s="1">
        <f ca="1"/>
        <v>46050</v>
      </c>
      <c r="B47" t="str">
        <f ca="1"/>
        <v>Meta</v>
      </c>
      <c r="C47" t="str">
        <f ca="1"/>
        <v>Campaign_A</v>
      </c>
      <c r="D47" t="str">
        <f ca="1"/>
        <v>Prospecting</v>
      </c>
      <c r="E47" t="str">
        <f ca="1"/>
        <v>Creative_3</v>
      </c>
      <c r="F47">
        <f ca="1"/>
        <v>242.82</v>
      </c>
      <c r="G47">
        <f ca="1"/>
        <v>13161</v>
      </c>
      <c r="H47">
        <f ca="1"/>
        <v>554</v>
      </c>
      <c r="I47">
        <f ca="1"/>
        <v>37</v>
      </c>
      <c r="J47">
        <f ca="1"/>
        <v>10</v>
      </c>
      <c r="K47">
        <f ca="1"/>
        <v>198.11</v>
      </c>
      <c r="L47">
        <f ca="1"/>
        <v>4.2094065800471092E-2</v>
      </c>
      <c r="M47">
        <f ca="1"/>
        <v>1.8050541516245487E-2</v>
      </c>
      <c r="N47">
        <f ca="1"/>
        <v>0.43830324909747292</v>
      </c>
      <c r="O47">
        <f ca="1"/>
        <v>24.282</v>
      </c>
      <c r="P47">
        <f ca="1"/>
        <v>0.81587183922246942</v>
      </c>
    </row>
    <row r="48" spans="1:16">
      <c r="A48" s="1">
        <f ca="1"/>
        <v>46051</v>
      </c>
      <c r="B48" t="str">
        <f ca="1"/>
        <v>Meta</v>
      </c>
      <c r="C48" t="str">
        <f ca="1"/>
        <v>Campaign_B</v>
      </c>
      <c r="D48" t="str">
        <f ca="1"/>
        <v>Retargeting</v>
      </c>
      <c r="E48" t="str">
        <f ca="1"/>
        <v>Creative_3</v>
      </c>
      <c r="F48">
        <f ca="1"/>
        <v>269.2</v>
      </c>
      <c r="G48">
        <f ca="1"/>
        <v>3082</v>
      </c>
      <c r="H48">
        <f ca="1"/>
        <v>873</v>
      </c>
      <c r="I48">
        <f ca="1"/>
        <v>102</v>
      </c>
      <c r="J48">
        <f ca="1"/>
        <v>17</v>
      </c>
      <c r="K48">
        <f ca="1"/>
        <v>134.66</v>
      </c>
      <c r="L48">
        <f ca="1"/>
        <v>0.28325762491888384</v>
      </c>
      <c r="M48">
        <f ca="1"/>
        <v>1.9473081328751432E-2</v>
      </c>
      <c r="N48">
        <f ca="1"/>
        <v>0.30836197021764034</v>
      </c>
      <c r="O48">
        <f ca="1"/>
        <v>15.835294117647058</v>
      </c>
      <c r="P48">
        <f ca="1"/>
        <v>0.50022288261515602</v>
      </c>
    </row>
    <row r="49" spans="1:16">
      <c r="A49" s="1">
        <f ca="1"/>
        <v>46052</v>
      </c>
      <c r="B49" t="str">
        <f ca="1"/>
        <v>Meta</v>
      </c>
      <c r="C49" t="str">
        <f ca="1"/>
        <v>Campaign_A</v>
      </c>
      <c r="D49" t="str">
        <f ca="1"/>
        <v>Retargeting</v>
      </c>
      <c r="E49" t="str">
        <f ca="1"/>
        <v>Creative_2</v>
      </c>
      <c r="F49">
        <f ca="1"/>
        <v>114.64</v>
      </c>
      <c r="G49">
        <f ca="1"/>
        <v>17281</v>
      </c>
      <c r="H49">
        <f ca="1"/>
        <v>978</v>
      </c>
      <c r="I49">
        <f ca="1"/>
        <v>109</v>
      </c>
      <c r="J49">
        <f ca="1"/>
        <v>20</v>
      </c>
      <c r="K49">
        <f ca="1"/>
        <v>1424.23</v>
      </c>
      <c r="L49">
        <f ca="1"/>
        <v>5.659394710954227E-2</v>
      </c>
      <c r="M49">
        <f ca="1"/>
        <v>2.0449897750511249E-2</v>
      </c>
      <c r="N49">
        <f ca="1"/>
        <v>0.11721881390593047</v>
      </c>
      <c r="O49">
        <f ca="1"/>
        <v>5.7320000000000002</v>
      </c>
      <c r="P49">
        <f ca="1"/>
        <v>12.423499651081647</v>
      </c>
    </row>
    <row r="50" spans="1:16">
      <c r="A50" s="1">
        <f ca="1"/>
        <v>46037</v>
      </c>
      <c r="B50" t="str">
        <f ca="1"/>
        <v>Google</v>
      </c>
      <c r="C50" t="str">
        <f ca="1"/>
        <v>Search_Generic</v>
      </c>
      <c r="D50" t="str">
        <f ca="1"/>
        <v>Group_2</v>
      </c>
      <c r="E50" t="str">
        <f ca="1"/>
        <v>Headline_C</v>
      </c>
      <c r="F50">
        <f ca="1"/>
        <v>236.94</v>
      </c>
      <c r="G50">
        <f ca="1"/>
        <v>13112</v>
      </c>
      <c r="H50">
        <f ca="1"/>
        <v>426</v>
      </c>
      <c r="I50">
        <f ca="1"/>
        <v>0</v>
      </c>
      <c r="J50">
        <f ca="1"/>
        <v>32</v>
      </c>
      <c r="K50">
        <f ca="1"/>
        <v>162.25</v>
      </c>
      <c r="L50">
        <f ca="1"/>
        <v>3.2489322757779132E-2</v>
      </c>
      <c r="M50">
        <f ca="1"/>
        <v>7.5117370892018781E-2</v>
      </c>
      <c r="N50">
        <f ca="1"/>
        <v>0.55619718309859156</v>
      </c>
      <c r="O50">
        <f ca="1"/>
        <v>7.4043749999999999</v>
      </c>
      <c r="P50">
        <f ca="1"/>
        <v>0.68477251624883939</v>
      </c>
    </row>
    <row r="51" spans="1:16">
      <c r="A51" s="1">
        <f ca="1"/>
        <v>46038</v>
      </c>
      <c r="B51" t="str">
        <f ca="1"/>
        <v>Google</v>
      </c>
      <c r="C51" t="str">
        <f ca="1"/>
        <v>Search_Generic</v>
      </c>
      <c r="D51" t="str">
        <f ca="1"/>
        <v>Group_1</v>
      </c>
      <c r="E51" t="str">
        <f ca="1"/>
        <v>Headline_B</v>
      </c>
      <c r="F51">
        <f ca="1"/>
        <v>48.15</v>
      </c>
      <c r="G51">
        <f ca="1"/>
        <v>14150</v>
      </c>
      <c r="H51">
        <f ca="1"/>
        <v>751</v>
      </c>
      <c r="I51">
        <f ca="1"/>
        <v>0</v>
      </c>
      <c r="J51">
        <f ca="1"/>
        <v>35</v>
      </c>
      <c r="K51">
        <f ca="1"/>
        <v>186.07</v>
      </c>
      <c r="L51">
        <f ca="1"/>
        <v>5.3074204946996467E-2</v>
      </c>
      <c r="M51">
        <f ca="1"/>
        <v>4.6604527296937419E-2</v>
      </c>
      <c r="N51">
        <f ca="1"/>
        <v>6.4114513981358187E-2</v>
      </c>
      <c r="O51">
        <f ca="1"/>
        <v>1.3757142857142857</v>
      </c>
      <c r="P51">
        <f ca="1"/>
        <v>3.864382139148494</v>
      </c>
    </row>
    <row r="52" spans="1:16">
      <c r="A52" s="1">
        <f ca="1"/>
        <v>46039</v>
      </c>
      <c r="B52" t="str">
        <f ca="1"/>
        <v>Google</v>
      </c>
      <c r="C52" t="str">
        <f ca="1"/>
        <v>Search_Brand</v>
      </c>
      <c r="D52" t="str">
        <f ca="1"/>
        <v>Group_1</v>
      </c>
      <c r="E52" t="str">
        <f ca="1"/>
        <v>Headline_B</v>
      </c>
      <c r="F52">
        <f ca="1"/>
        <v>110.5</v>
      </c>
      <c r="G52">
        <f ca="1"/>
        <v>8770</v>
      </c>
      <c r="H52">
        <f ca="1"/>
        <v>190</v>
      </c>
      <c r="I52">
        <f ca="1"/>
        <v>0</v>
      </c>
      <c r="J52">
        <f ca="1"/>
        <v>38</v>
      </c>
      <c r="K52">
        <f ca="1"/>
        <v>1290.43</v>
      </c>
      <c r="L52">
        <f ca="1"/>
        <v>2.1664766248574687E-2</v>
      </c>
      <c r="M52">
        <f ca="1"/>
        <v>0.2</v>
      </c>
      <c r="N52">
        <f ca="1"/>
        <v>0.58157894736842108</v>
      </c>
      <c r="O52">
        <f ca="1"/>
        <v>2.9078947368421053</v>
      </c>
      <c r="P52">
        <f ca="1"/>
        <v>11.678099547511312</v>
      </c>
    </row>
    <row r="53" spans="1:16">
      <c r="A53" s="1">
        <f ca="1"/>
        <v>46040</v>
      </c>
      <c r="B53" t="str">
        <f ca="1"/>
        <v>Google</v>
      </c>
      <c r="C53" t="str">
        <f ca="1"/>
        <v>Search_Generic</v>
      </c>
      <c r="D53" t="str">
        <f ca="1"/>
        <v>Group_1</v>
      </c>
      <c r="E53" t="str">
        <f ca="1"/>
        <v>Headline_C</v>
      </c>
      <c r="F53">
        <f ca="1"/>
        <v>91.14</v>
      </c>
      <c r="G53">
        <f ca="1"/>
        <v>13218</v>
      </c>
      <c r="H53">
        <f ca="1"/>
        <v>45</v>
      </c>
      <c r="I53">
        <f ca="1"/>
        <v>0</v>
      </c>
      <c r="J53">
        <f ca="1"/>
        <v>13</v>
      </c>
      <c r="K53">
        <f ca="1"/>
        <v>1486.01</v>
      </c>
      <c r="L53">
        <f ca="1"/>
        <v>3.4044484793463461E-3</v>
      </c>
      <c r="M53">
        <f ca="1"/>
        <v>0.28888888888888886</v>
      </c>
      <c r="N53">
        <f ca="1"/>
        <v>2.0253333333333332</v>
      </c>
      <c r="O53">
        <f ca="1"/>
        <v>7.0107692307692311</v>
      </c>
      <c r="P53">
        <f ca="1"/>
        <v>16.304696071977176</v>
      </c>
    </row>
    <row r="54" spans="1:16">
      <c r="A54" s="1">
        <f ca="1"/>
        <v>46041</v>
      </c>
      <c r="B54" t="str">
        <f ca="1"/>
        <v>Google</v>
      </c>
      <c r="C54" t="str">
        <f ca="1"/>
        <v>PMax</v>
      </c>
      <c r="D54" t="str">
        <f ca="1"/>
        <v>Group_1</v>
      </c>
      <c r="E54" t="str">
        <f ca="1"/>
        <v>Headline_B</v>
      </c>
      <c r="F54">
        <f ca="1"/>
        <v>35.43</v>
      </c>
      <c r="G54">
        <f ca="1"/>
        <v>12561</v>
      </c>
      <c r="H54">
        <f ca="1"/>
        <v>522</v>
      </c>
      <c r="I54">
        <f ca="1"/>
        <v>0</v>
      </c>
      <c r="J54">
        <f ca="1"/>
        <v>25</v>
      </c>
      <c r="K54">
        <f ca="1"/>
        <v>1039.99</v>
      </c>
      <c r="L54">
        <f ca="1"/>
        <v>4.1557200859804154E-2</v>
      </c>
      <c r="M54">
        <f ca="1"/>
        <v>4.7892720306513412E-2</v>
      </c>
      <c r="N54">
        <f ca="1"/>
        <v>6.7873563218390803E-2</v>
      </c>
      <c r="O54">
        <f ca="1"/>
        <v>1.4172</v>
      </c>
      <c r="P54">
        <f ca="1"/>
        <v>29.353372847869039</v>
      </c>
    </row>
    <row r="55" spans="1:16">
      <c r="A55" s="1">
        <f ca="1"/>
        <v>46042</v>
      </c>
      <c r="B55" t="str">
        <f ca="1"/>
        <v>Google</v>
      </c>
      <c r="C55" t="str">
        <f ca="1"/>
        <v>PMax</v>
      </c>
      <c r="D55" t="str">
        <f ca="1"/>
        <v>Group_3</v>
      </c>
      <c r="E55" t="str">
        <f ca="1"/>
        <v>Headline_C</v>
      </c>
      <c r="F55">
        <f ca="1"/>
        <v>163.81</v>
      </c>
      <c r="G55">
        <f ca="1"/>
        <v>2052</v>
      </c>
      <c r="H55">
        <f ca="1"/>
        <v>455</v>
      </c>
      <c r="I55">
        <f ca="1"/>
        <v>0</v>
      </c>
      <c r="J55">
        <f ca="1"/>
        <v>9</v>
      </c>
      <c r="K55">
        <f ca="1"/>
        <v>713.26</v>
      </c>
      <c r="L55">
        <f ca="1"/>
        <v>0.22173489278752437</v>
      </c>
      <c r="M55">
        <f ca="1"/>
        <v>1.9780219780219779E-2</v>
      </c>
      <c r="N55">
        <f ca="1"/>
        <v>0.36002197802197805</v>
      </c>
      <c r="O55">
        <f ca="1"/>
        <v>18.201111111111111</v>
      </c>
      <c r="P55">
        <f ca="1"/>
        <v>4.3541908308406079</v>
      </c>
    </row>
    <row r="56" spans="1:16">
      <c r="A56" s="1">
        <f ca="1"/>
        <v>46043</v>
      </c>
      <c r="B56" t="str">
        <f ca="1"/>
        <v>Google</v>
      </c>
      <c r="C56" t="str">
        <f ca="1"/>
        <v>Search_Brand</v>
      </c>
      <c r="D56" t="str">
        <f ca="1"/>
        <v>Group_3</v>
      </c>
      <c r="E56" t="str">
        <f ca="1"/>
        <v>Headline_B</v>
      </c>
      <c r="F56">
        <f ca="1"/>
        <v>187.94</v>
      </c>
      <c r="G56">
        <f ca="1"/>
        <v>5003</v>
      </c>
      <c r="H56">
        <f ca="1"/>
        <v>137</v>
      </c>
      <c r="I56">
        <f ca="1"/>
        <v>0</v>
      </c>
      <c r="J56">
        <f ca="1"/>
        <v>4</v>
      </c>
      <c r="K56">
        <f ca="1"/>
        <v>999.55</v>
      </c>
      <c r="L56">
        <f ca="1"/>
        <v>2.7383569858085148E-2</v>
      </c>
      <c r="M56">
        <f ca="1"/>
        <v>2.9197080291970802E-2</v>
      </c>
      <c r="N56">
        <f ca="1"/>
        <v>1.3718248175182481</v>
      </c>
      <c r="O56">
        <f ca="1"/>
        <v>46.984999999999999</v>
      </c>
      <c r="P56">
        <f ca="1"/>
        <v>5.3184526976694686</v>
      </c>
    </row>
    <row r="57" spans="1:16">
      <c r="A57" s="1">
        <f ca="1"/>
        <v>46044</v>
      </c>
      <c r="B57" t="str">
        <f ca="1"/>
        <v>Google</v>
      </c>
      <c r="C57" t="str">
        <f ca="1"/>
        <v>PMax</v>
      </c>
      <c r="D57" t="str">
        <f ca="1"/>
        <v>Group_1</v>
      </c>
      <c r="E57" t="str">
        <f ca="1"/>
        <v>Headline_C</v>
      </c>
      <c r="F57">
        <f ca="1"/>
        <v>214.31</v>
      </c>
      <c r="G57">
        <f ca="1"/>
        <v>9163</v>
      </c>
      <c r="H57">
        <f ca="1"/>
        <v>479</v>
      </c>
      <c r="I57">
        <f ca="1"/>
        <v>0</v>
      </c>
      <c r="J57">
        <f ca="1"/>
        <v>14</v>
      </c>
      <c r="K57">
        <f ca="1"/>
        <v>924.04</v>
      </c>
      <c r="L57">
        <f ca="1"/>
        <v>5.2275455636800174E-2</v>
      </c>
      <c r="M57">
        <f ca="1"/>
        <v>2.9227557411273485E-2</v>
      </c>
      <c r="N57">
        <f ca="1"/>
        <v>0.44741127348643006</v>
      </c>
      <c r="O57">
        <f ca="1"/>
        <v>15.307857142857143</v>
      </c>
      <c r="P57">
        <f ca="1"/>
        <v>4.3116980075591433</v>
      </c>
    </row>
    <row r="58" spans="1:16">
      <c r="A58" s="1">
        <f ca="1"/>
        <v>46045</v>
      </c>
      <c r="B58" t="str">
        <f ca="1"/>
        <v>Google</v>
      </c>
      <c r="C58" t="str">
        <f ca="1"/>
        <v>PMax</v>
      </c>
      <c r="D58" t="str">
        <f ca="1"/>
        <v>Group_2</v>
      </c>
      <c r="E58" t="str">
        <f ca="1"/>
        <v>Headline_A</v>
      </c>
      <c r="F58">
        <f ca="1"/>
        <v>43.85</v>
      </c>
      <c r="G58">
        <f ca="1"/>
        <v>10450</v>
      </c>
      <c r="H58">
        <f ca="1"/>
        <v>340</v>
      </c>
      <c r="I58">
        <f ca="1"/>
        <v>0</v>
      </c>
      <c r="J58">
        <f ca="1"/>
        <v>37</v>
      </c>
      <c r="K58">
        <f ca="1"/>
        <v>624.73</v>
      </c>
      <c r="L58">
        <f ca="1"/>
        <v>3.2535885167464113E-2</v>
      </c>
      <c r="M58">
        <f ca="1"/>
        <v>0.10882352941176471</v>
      </c>
      <c r="N58">
        <f ca="1"/>
        <v>0.12897058823529411</v>
      </c>
      <c r="O58">
        <f ca="1"/>
        <v>1.1851351351351351</v>
      </c>
      <c r="P58">
        <f ca="1"/>
        <v>14.246978335233752</v>
      </c>
    </row>
    <row r="59" spans="1:16">
      <c r="A59" s="1">
        <f ca="1"/>
        <v>46046</v>
      </c>
      <c r="B59" t="str">
        <f ca="1"/>
        <v>Google</v>
      </c>
      <c r="C59" t="str">
        <f ca="1"/>
        <v>Search_Brand</v>
      </c>
      <c r="D59" t="str">
        <f ca="1"/>
        <v>Group_2</v>
      </c>
      <c r="E59" t="str">
        <f ca="1"/>
        <v>Headline_C</v>
      </c>
      <c r="F59">
        <f ca="1"/>
        <v>220.96</v>
      </c>
      <c r="G59">
        <f ca="1"/>
        <v>4349</v>
      </c>
      <c r="H59">
        <f ca="1"/>
        <v>768</v>
      </c>
      <c r="I59">
        <f ca="1"/>
        <v>0</v>
      </c>
      <c r="J59">
        <f ca="1"/>
        <v>34</v>
      </c>
      <c r="K59">
        <f ca="1"/>
        <v>173.19</v>
      </c>
      <c r="L59">
        <f ca="1"/>
        <v>0.17659232007358014</v>
      </c>
      <c r="M59">
        <f ca="1"/>
        <v>4.4270833333333336E-2</v>
      </c>
      <c r="N59">
        <f ca="1"/>
        <v>0.28770833333333334</v>
      </c>
      <c r="O59">
        <f ca="1"/>
        <v>6.4988235294117649</v>
      </c>
      <c r="P59">
        <f ca="1"/>
        <v>0.78380702389572765</v>
      </c>
    </row>
    <row r="60" spans="1:16">
      <c r="A60" s="1">
        <f ca="1"/>
        <v>46047</v>
      </c>
      <c r="B60" t="str">
        <f ca="1"/>
        <v>Google</v>
      </c>
      <c r="C60" t="str">
        <f ca="1"/>
        <v>Search_Generic</v>
      </c>
      <c r="D60" t="str">
        <f ca="1"/>
        <v>Group_2</v>
      </c>
      <c r="E60" t="str">
        <f ca="1"/>
        <v>Headline_C</v>
      </c>
      <c r="F60">
        <f ca="1"/>
        <v>166.09</v>
      </c>
      <c r="G60">
        <f ca="1"/>
        <v>4997</v>
      </c>
      <c r="H60">
        <f ca="1"/>
        <v>199</v>
      </c>
      <c r="I60">
        <f ca="1"/>
        <v>0</v>
      </c>
      <c r="J60">
        <f ca="1"/>
        <v>11</v>
      </c>
      <c r="K60">
        <f ca="1"/>
        <v>1246.55</v>
      </c>
      <c r="L60">
        <f ca="1"/>
        <v>3.982389433660196E-2</v>
      </c>
      <c r="M60">
        <f ca="1"/>
        <v>5.5276381909547742E-2</v>
      </c>
      <c r="N60">
        <f ca="1"/>
        <v>0.83462311557788949</v>
      </c>
      <c r="O60">
        <f ca="1"/>
        <v>15.09909090909091</v>
      </c>
      <c r="P60">
        <f ca="1"/>
        <v>7.5052682280691183</v>
      </c>
    </row>
    <row r="61" spans="1:16">
      <c r="A61" s="1">
        <f ca="1"/>
        <v>46048</v>
      </c>
      <c r="B61" t="str">
        <f ca="1"/>
        <v>Google</v>
      </c>
      <c r="C61" t="str">
        <f ca="1"/>
        <v>Search_Generic</v>
      </c>
      <c r="D61" t="str">
        <f ca="1"/>
        <v>Group_2</v>
      </c>
      <c r="E61" t="str">
        <f ca="1"/>
        <v>Headline_C</v>
      </c>
      <c r="F61">
        <f ca="1"/>
        <v>180.43</v>
      </c>
      <c r="G61">
        <f ca="1"/>
        <v>7809</v>
      </c>
      <c r="H61">
        <f ca="1"/>
        <v>575</v>
      </c>
      <c r="I61">
        <f ca="1"/>
        <v>0</v>
      </c>
      <c r="J61">
        <f ca="1"/>
        <v>3</v>
      </c>
      <c r="K61">
        <f ca="1"/>
        <v>608</v>
      </c>
      <c r="L61">
        <f ca="1"/>
        <v>7.3632987578435144E-2</v>
      </c>
      <c r="M61">
        <f ca="1"/>
        <v>5.2173913043478265E-3</v>
      </c>
      <c r="N61">
        <f ca="1"/>
        <v>0.31379130434782609</v>
      </c>
      <c r="O61">
        <f ca="1"/>
        <v>60.143333333333338</v>
      </c>
      <c r="P61">
        <f ca="1"/>
        <v>3.3697278723050488</v>
      </c>
    </row>
    <row r="62" spans="1:16">
      <c r="A62" s="1">
        <f ca="1"/>
        <v>46049</v>
      </c>
      <c r="B62" t="str">
        <f ca="1"/>
        <v>Google</v>
      </c>
      <c r="C62" t="str">
        <f ca="1"/>
        <v>Search_Generic</v>
      </c>
      <c r="D62" t="str">
        <f ca="1"/>
        <v>Group_1</v>
      </c>
      <c r="E62" t="str">
        <f ca="1"/>
        <v>Headline_C</v>
      </c>
      <c r="F62">
        <f ca="1"/>
        <v>229</v>
      </c>
      <c r="G62">
        <f ca="1"/>
        <v>7467</v>
      </c>
      <c r="H62">
        <f ca="1"/>
        <v>443</v>
      </c>
      <c r="I62">
        <f ca="1"/>
        <v>0</v>
      </c>
      <c r="J62">
        <f ca="1"/>
        <v>28</v>
      </c>
      <c r="K62">
        <f ca="1"/>
        <v>1242.68</v>
      </c>
      <c r="L62">
        <f ca="1"/>
        <v>5.9327708584438192E-2</v>
      </c>
      <c r="M62">
        <f ca="1"/>
        <v>6.320541760722348E-2</v>
      </c>
      <c r="N62">
        <f ca="1"/>
        <v>0.5169300225733634</v>
      </c>
      <c r="O62">
        <f ca="1"/>
        <v>8.1785714285714288</v>
      </c>
      <c r="P62">
        <f ca="1"/>
        <v>5.426550218340612</v>
      </c>
    </row>
    <row r="63" spans="1:16">
      <c r="A63" s="1">
        <f ca="1"/>
        <v>46050</v>
      </c>
      <c r="B63" t="str">
        <f ca="1"/>
        <v>Google</v>
      </c>
      <c r="C63" t="str">
        <f ca="1"/>
        <v>Search_Brand</v>
      </c>
      <c r="D63" t="str">
        <f ca="1"/>
        <v>Group_3</v>
      </c>
      <c r="E63" t="str">
        <f ca="1"/>
        <v>Headline_B</v>
      </c>
      <c r="F63">
        <f ca="1"/>
        <v>161.82</v>
      </c>
      <c r="G63">
        <f ca="1"/>
        <v>3122</v>
      </c>
      <c r="H63">
        <f ca="1"/>
        <v>280</v>
      </c>
      <c r="I63">
        <f ca="1"/>
        <v>0</v>
      </c>
      <c r="J63">
        <f ca="1"/>
        <v>29</v>
      </c>
      <c r="K63">
        <f ca="1"/>
        <v>438.56</v>
      </c>
      <c r="L63">
        <f ca="1"/>
        <v>8.9686098654708515E-2</v>
      </c>
      <c r="M63">
        <f ca="1"/>
        <v>0.10357142857142858</v>
      </c>
      <c r="N63">
        <f ca="1"/>
        <v>0.57792857142857146</v>
      </c>
      <c r="O63">
        <f ca="1"/>
        <v>5.58</v>
      </c>
      <c r="P63">
        <f ca="1"/>
        <v>2.7101717958225189</v>
      </c>
    </row>
    <row r="64" spans="1:16">
      <c r="A64" s="1">
        <f ca="1"/>
        <v>46051</v>
      </c>
      <c r="B64" t="str">
        <f ca="1"/>
        <v>Google</v>
      </c>
      <c r="C64" t="str">
        <f ca="1"/>
        <v>PMax</v>
      </c>
      <c r="D64" t="str">
        <f ca="1"/>
        <v>Group_2</v>
      </c>
      <c r="E64" t="str">
        <f ca="1"/>
        <v>Headline_A</v>
      </c>
      <c r="F64">
        <f ca="1"/>
        <v>93.93</v>
      </c>
      <c r="G64">
        <f ca="1"/>
        <v>10628</v>
      </c>
      <c r="H64">
        <f ca="1"/>
        <v>788</v>
      </c>
      <c r="I64">
        <f ca="1"/>
        <v>0</v>
      </c>
      <c r="J64">
        <f ca="1"/>
        <v>9</v>
      </c>
      <c r="K64">
        <f ca="1"/>
        <v>81.459999999999994</v>
      </c>
      <c r="L64">
        <f ca="1"/>
        <v>7.4143771170493034E-2</v>
      </c>
      <c r="M64">
        <f ca="1"/>
        <v>1.1421319796954314E-2</v>
      </c>
      <c r="N64">
        <f ca="1"/>
        <v>0.11920050761421321</v>
      </c>
      <c r="O64">
        <f ca="1"/>
        <v>10.436666666666667</v>
      </c>
      <c r="P64">
        <f ca="1"/>
        <v>0.86724156286596388</v>
      </c>
    </row>
    <row r="65" spans="1:16">
      <c r="A65" s="1">
        <f ca="1"/>
        <v>46052</v>
      </c>
      <c r="B65" t="str">
        <f ca="1"/>
        <v>Google</v>
      </c>
      <c r="C65" t="str">
        <f ca="1"/>
        <v>Search_Generic</v>
      </c>
      <c r="D65" t="str">
        <f ca="1"/>
        <v>Group_1</v>
      </c>
      <c r="E65" t="str">
        <f ca="1"/>
        <v>Headline_C</v>
      </c>
      <c r="F65">
        <f ca="1"/>
        <v>208.9</v>
      </c>
      <c r="G65">
        <f ca="1"/>
        <v>12107</v>
      </c>
      <c r="H65">
        <f ca="1"/>
        <v>810</v>
      </c>
      <c r="I65">
        <f ca="1"/>
        <v>0</v>
      </c>
      <c r="J65">
        <f ca="1"/>
        <v>3</v>
      </c>
      <c r="K65">
        <f ca="1"/>
        <v>305.69</v>
      </c>
      <c r="L65">
        <f ca="1"/>
        <v>6.6903444288428177E-2</v>
      </c>
      <c r="M65">
        <f ca="1"/>
        <v>3.7037037037037038E-3</v>
      </c>
      <c r="N65">
        <f ca="1"/>
        <v>0.25790123456790126</v>
      </c>
      <c r="O65">
        <f ca="1"/>
        <v>69.63333333333334</v>
      </c>
      <c r="P65">
        <f ca="1"/>
        <v>1.463331737673528</v>
      </c>
    </row>
    <row r="66" spans="1:16">
      <c r="A66" s="1">
        <f ca="1"/>
        <v>46037</v>
      </c>
      <c r="B66" t="str">
        <f ca="1"/>
        <v>Google</v>
      </c>
      <c r="C66" t="str">
        <f ca="1"/>
        <v>Search_Generic</v>
      </c>
      <c r="D66" t="str">
        <f ca="1"/>
        <v>Group_3</v>
      </c>
      <c r="E66" t="str">
        <f ca="1"/>
        <v>Headline_A</v>
      </c>
      <c r="F66">
        <f ca="1"/>
        <v>57.8</v>
      </c>
      <c r="G66">
        <f ca="1"/>
        <v>6695</v>
      </c>
      <c r="H66">
        <f ca="1"/>
        <v>469</v>
      </c>
      <c r="I66">
        <f ca="1"/>
        <v>0</v>
      </c>
      <c r="J66">
        <f ca="1"/>
        <v>26</v>
      </c>
      <c r="K66">
        <f ca="1"/>
        <v>1118.4000000000001</v>
      </c>
      <c r="L66">
        <f ca="1"/>
        <v>7.0052277819268108E-2</v>
      </c>
      <c r="M66">
        <f ca="1"/>
        <v>5.5437100213219619E-2</v>
      </c>
      <c r="N66">
        <f ca="1"/>
        <v>0.12324093816631129</v>
      </c>
      <c r="O66">
        <f ca="1"/>
        <v>2.2230769230769232</v>
      </c>
      <c r="P66">
        <f ca="1"/>
        <v>19.349480968858135</v>
      </c>
    </row>
    <row r="67" spans="1:16">
      <c r="A67" s="1">
        <f ca="1"/>
        <v>46038</v>
      </c>
      <c r="B67" t="str">
        <f ca="1"/>
        <v>Google</v>
      </c>
      <c r="C67" t="str">
        <f ca="1"/>
        <v>PMax</v>
      </c>
      <c r="D67" t="str">
        <f ca="1"/>
        <v>Group_3</v>
      </c>
      <c r="E67" t="str">
        <f ca="1"/>
        <v>Headline_A</v>
      </c>
      <c r="F67">
        <f ca="1"/>
        <v>128.91999999999999</v>
      </c>
      <c r="G67">
        <f ca="1"/>
        <v>13054</v>
      </c>
      <c r="H67">
        <f ca="1"/>
        <v>777</v>
      </c>
      <c r="I67">
        <f ca="1"/>
        <v>0</v>
      </c>
      <c r="J67">
        <f ca="1"/>
        <v>18</v>
      </c>
      <c r="K67">
        <f ca="1"/>
        <v>1371.52</v>
      </c>
      <c r="L67">
        <f ca="1"/>
        <v>5.9521985598284054E-2</v>
      </c>
      <c r="M67">
        <f ca="1"/>
        <v>2.3166023166023165E-2</v>
      </c>
      <c r="N67">
        <f ca="1"/>
        <v>0.1659202059202059</v>
      </c>
      <c r="O67">
        <f ca="1"/>
        <v>7.1622222222222218</v>
      </c>
      <c r="P67">
        <f ca="1"/>
        <v>10.638535525907541</v>
      </c>
    </row>
    <row r="68" spans="1:16">
      <c r="A68" s="1">
        <f ca="1"/>
        <v>46039</v>
      </c>
      <c r="B68" t="str">
        <f ca="1"/>
        <v>Google</v>
      </c>
      <c r="C68" t="str">
        <f ca="1"/>
        <v>Search_Brand</v>
      </c>
      <c r="D68" t="str">
        <f ca="1"/>
        <v>Group_3</v>
      </c>
      <c r="E68" t="str">
        <f ca="1"/>
        <v>Headline_B</v>
      </c>
      <c r="F68">
        <f ca="1"/>
        <v>135.43</v>
      </c>
      <c r="G68">
        <f ca="1"/>
        <v>3508</v>
      </c>
      <c r="H68">
        <f ca="1"/>
        <v>268</v>
      </c>
      <c r="I68">
        <f ca="1"/>
        <v>0</v>
      </c>
      <c r="J68">
        <f ca="1"/>
        <v>6</v>
      </c>
      <c r="K68">
        <f ca="1"/>
        <v>1297.45</v>
      </c>
      <c r="L68">
        <f ca="1"/>
        <v>7.6396807297605479E-2</v>
      </c>
      <c r="M68">
        <f ca="1"/>
        <v>2.2388059701492536E-2</v>
      </c>
      <c r="N68">
        <f ca="1"/>
        <v>0.50533582089552243</v>
      </c>
      <c r="O68">
        <f ca="1"/>
        <v>22.571666666666669</v>
      </c>
      <c r="P68">
        <f ca="1"/>
        <v>9.5802259469836812</v>
      </c>
    </row>
    <row r="69" spans="1:16">
      <c r="A69" s="1">
        <f ca="1"/>
        <v>46040</v>
      </c>
      <c r="B69" t="str">
        <f ca="1"/>
        <v>Google</v>
      </c>
      <c r="C69" t="str">
        <f ca="1"/>
        <v>Search_Brand</v>
      </c>
      <c r="D69" t="str">
        <f ca="1"/>
        <v>Group_2</v>
      </c>
      <c r="E69" t="str">
        <f ca="1"/>
        <v>Headline_B</v>
      </c>
      <c r="F69">
        <f ca="1"/>
        <v>189.3</v>
      </c>
      <c r="G69">
        <f ca="1"/>
        <v>12144</v>
      </c>
      <c r="H69">
        <f ca="1"/>
        <v>406</v>
      </c>
      <c r="I69">
        <f ca="1"/>
        <v>0</v>
      </c>
      <c r="J69">
        <f ca="1"/>
        <v>37</v>
      </c>
      <c r="K69">
        <f ca="1"/>
        <v>1449.62</v>
      </c>
      <c r="L69">
        <f ca="1"/>
        <v>3.3432147562582344E-2</v>
      </c>
      <c r="M69">
        <f ca="1"/>
        <v>9.1133004926108374E-2</v>
      </c>
      <c r="N69">
        <f ca="1"/>
        <v>0.46625615763546802</v>
      </c>
      <c r="O69">
        <f ca="1"/>
        <v>5.1162162162162161</v>
      </c>
      <c r="P69">
        <f ca="1"/>
        <v>7.6577918647649224</v>
      </c>
    </row>
    <row r="70" spans="1:16">
      <c r="A70" s="1">
        <f ca="1"/>
        <v>46041</v>
      </c>
      <c r="B70" t="str">
        <f ca="1"/>
        <v>Google</v>
      </c>
      <c r="C70" t="str">
        <f ca="1"/>
        <v>Search_Generic</v>
      </c>
      <c r="D70" t="str">
        <f ca="1"/>
        <v>Group_3</v>
      </c>
      <c r="E70" t="str">
        <f ca="1"/>
        <v>Headline_C</v>
      </c>
      <c r="F70">
        <f ca="1"/>
        <v>179.23</v>
      </c>
      <c r="G70">
        <f ca="1"/>
        <v>2550</v>
      </c>
      <c r="H70">
        <f ca="1"/>
        <v>295</v>
      </c>
      <c r="I70">
        <f ca="1"/>
        <v>0</v>
      </c>
      <c r="J70">
        <f ca="1"/>
        <v>13</v>
      </c>
      <c r="K70">
        <f ca="1"/>
        <v>1159.33</v>
      </c>
      <c r="L70">
        <f ca="1"/>
        <v>0.11568627450980393</v>
      </c>
      <c r="M70">
        <f ca="1"/>
        <v>4.4067796610169491E-2</v>
      </c>
      <c r="N70">
        <f ca="1"/>
        <v>0.60755932203389829</v>
      </c>
      <c r="O70">
        <f ca="1"/>
        <v>13.786923076923076</v>
      </c>
      <c r="P70">
        <f ca="1"/>
        <v>6.4683925682084471</v>
      </c>
    </row>
    <row r="71" spans="1:16">
      <c r="A71" s="1">
        <f ca="1"/>
        <v>46042</v>
      </c>
      <c r="B71" t="str">
        <f ca="1"/>
        <v>Google</v>
      </c>
      <c r="C71" t="str">
        <f ca="1"/>
        <v>Search_Generic</v>
      </c>
      <c r="D71" t="str">
        <f ca="1"/>
        <v>Group_3</v>
      </c>
      <c r="E71" t="str">
        <f ca="1"/>
        <v>Headline_A</v>
      </c>
      <c r="F71">
        <f ca="1"/>
        <v>109.6</v>
      </c>
      <c r="G71">
        <f ca="1"/>
        <v>6404</v>
      </c>
      <c r="H71">
        <f ca="1"/>
        <v>388</v>
      </c>
      <c r="I71">
        <f ca="1"/>
        <v>0</v>
      </c>
      <c r="J71">
        <f ca="1"/>
        <v>28</v>
      </c>
      <c r="K71">
        <f ca="1"/>
        <v>708.06</v>
      </c>
      <c r="L71">
        <f ca="1"/>
        <v>6.0587133041848845E-2</v>
      </c>
      <c r="M71">
        <f ca="1"/>
        <v>7.2164948453608241E-2</v>
      </c>
      <c r="N71">
        <f ca="1"/>
        <v>0.28247422680412371</v>
      </c>
      <c r="O71">
        <f ca="1"/>
        <v>3.9142857142857141</v>
      </c>
      <c r="P71">
        <f ca="1"/>
        <v>6.4604014598540145</v>
      </c>
    </row>
    <row r="72" spans="1:16">
      <c r="A72" s="1">
        <f ca="1"/>
        <v>46043</v>
      </c>
      <c r="B72" t="str">
        <f ca="1"/>
        <v>Google</v>
      </c>
      <c r="C72" t="str">
        <f ca="1"/>
        <v>Search_Generic</v>
      </c>
      <c r="D72" t="str">
        <f ca="1"/>
        <v>Group_1</v>
      </c>
      <c r="E72" t="str">
        <f ca="1"/>
        <v>Headline_A</v>
      </c>
      <c r="F72">
        <f ca="1"/>
        <v>66.239999999999995</v>
      </c>
      <c r="G72">
        <f ca="1"/>
        <v>3221</v>
      </c>
      <c r="H72">
        <f ca="1"/>
        <v>369</v>
      </c>
      <c r="I72">
        <f ca="1"/>
        <v>0</v>
      </c>
      <c r="J72">
        <f ca="1"/>
        <v>5</v>
      </c>
      <c r="K72">
        <f ca="1"/>
        <v>522.97</v>
      </c>
      <c r="L72">
        <f ca="1"/>
        <v>0.11456069543619994</v>
      </c>
      <c r="M72">
        <f ca="1"/>
        <v>1.3550135501355014E-2</v>
      </c>
      <c r="N72">
        <f ca="1"/>
        <v>0.17951219512195121</v>
      </c>
      <c r="O72">
        <f ca="1"/>
        <v>13.247999999999999</v>
      </c>
      <c r="P72">
        <f ca="1"/>
        <v>7.8950785024154602</v>
      </c>
    </row>
    <row r="73" spans="1:16">
      <c r="A73" s="1">
        <f ca="1"/>
        <v>46044</v>
      </c>
      <c r="B73" t="str">
        <f ca="1"/>
        <v>Google</v>
      </c>
      <c r="C73" t="str">
        <f ca="1"/>
        <v>Search_Brand</v>
      </c>
      <c r="D73" t="str">
        <f ca="1"/>
        <v>Group_3</v>
      </c>
      <c r="E73" t="str">
        <f ca="1"/>
        <v>Headline_C</v>
      </c>
      <c r="F73">
        <f ca="1"/>
        <v>166.59</v>
      </c>
      <c r="G73">
        <f ca="1"/>
        <v>7919</v>
      </c>
      <c r="H73">
        <f ca="1"/>
        <v>418</v>
      </c>
      <c r="I73">
        <f ca="1"/>
        <v>0</v>
      </c>
      <c r="J73">
        <f ca="1"/>
        <v>13</v>
      </c>
      <c r="K73">
        <f ca="1"/>
        <v>535.45000000000005</v>
      </c>
      <c r="L73">
        <f ca="1"/>
        <v>5.2784442480111125E-2</v>
      </c>
      <c r="M73">
        <f ca="1"/>
        <v>3.1100478468899521E-2</v>
      </c>
      <c r="N73">
        <f ca="1"/>
        <v>0.39854066985645936</v>
      </c>
      <c r="O73">
        <f ca="1"/>
        <v>12.814615384615385</v>
      </c>
      <c r="P73">
        <f ca="1"/>
        <v>3.2141785221201755</v>
      </c>
    </row>
    <row r="74" spans="1:16">
      <c r="A74" s="1">
        <f ca="1"/>
        <v>46045</v>
      </c>
      <c r="B74" t="str">
        <f ca="1"/>
        <v>Google</v>
      </c>
      <c r="C74" t="str">
        <f ca="1"/>
        <v>PMax</v>
      </c>
      <c r="D74" t="str">
        <f ca="1"/>
        <v>Group_2</v>
      </c>
      <c r="E74" t="str">
        <f ca="1"/>
        <v>Headline_A</v>
      </c>
      <c r="F74">
        <f ca="1"/>
        <v>114.1</v>
      </c>
      <c r="G74">
        <f ca="1"/>
        <v>9701</v>
      </c>
      <c r="H74">
        <f ca="1"/>
        <v>606</v>
      </c>
      <c r="I74">
        <f ca="1"/>
        <v>0</v>
      </c>
      <c r="J74">
        <f ca="1"/>
        <v>17</v>
      </c>
      <c r="K74">
        <f ca="1"/>
        <v>1108.68</v>
      </c>
      <c r="L74">
        <f ca="1"/>
        <v>6.2467786826100401E-2</v>
      </c>
      <c r="M74">
        <f ca="1"/>
        <v>2.8052805280528052E-2</v>
      </c>
      <c r="N74">
        <f ca="1"/>
        <v>0.18828382838283828</v>
      </c>
      <c r="O74">
        <f ca="1"/>
        <v>6.7117647058823522</v>
      </c>
      <c r="P74">
        <f ca="1"/>
        <v>9.7167397020157775</v>
      </c>
    </row>
    <row r="75" spans="1:16">
      <c r="A75" s="1">
        <f ca="1"/>
        <v>46046</v>
      </c>
      <c r="B75" t="str">
        <f ca="1"/>
        <v>Google</v>
      </c>
      <c r="C75" t="str">
        <f ca="1"/>
        <v>Search_Brand</v>
      </c>
      <c r="D75" t="str">
        <f ca="1"/>
        <v>Group_2</v>
      </c>
      <c r="E75" t="str">
        <f ca="1"/>
        <v>Headline_A</v>
      </c>
      <c r="F75">
        <f ca="1"/>
        <v>46.08</v>
      </c>
      <c r="G75">
        <f ca="1"/>
        <v>6119</v>
      </c>
      <c r="H75">
        <f ca="1"/>
        <v>718</v>
      </c>
      <c r="I75">
        <f ca="1"/>
        <v>0</v>
      </c>
      <c r="J75">
        <f ca="1"/>
        <v>32</v>
      </c>
      <c r="K75">
        <f ca="1"/>
        <v>1139.0899999999999</v>
      </c>
      <c r="L75">
        <f ca="1"/>
        <v>0.11733943454812878</v>
      </c>
      <c r="M75">
        <f ca="1"/>
        <v>4.456824512534819E-2</v>
      </c>
      <c r="N75">
        <f ca="1"/>
        <v>6.4178272980501397E-2</v>
      </c>
      <c r="O75">
        <f ca="1"/>
        <v>1.44</v>
      </c>
      <c r="P75">
        <f ca="1"/>
        <v>24.719835069444443</v>
      </c>
    </row>
    <row r="76" spans="1:16">
      <c r="A76" s="1">
        <f ca="1"/>
        <v>46047</v>
      </c>
      <c r="B76" t="str">
        <f ca="1"/>
        <v>Google</v>
      </c>
      <c r="C76" t="str">
        <f ca="1"/>
        <v>Search_Generic</v>
      </c>
      <c r="D76" t="str">
        <f ca="1"/>
        <v>Group_2</v>
      </c>
      <c r="E76" t="str">
        <f ca="1"/>
        <v>Headline_B</v>
      </c>
      <c r="F76">
        <f ca="1"/>
        <v>226.63</v>
      </c>
      <c r="G76">
        <f ca="1"/>
        <v>7409</v>
      </c>
      <c r="H76">
        <f ca="1"/>
        <v>32</v>
      </c>
      <c r="I76">
        <f ca="1"/>
        <v>0</v>
      </c>
      <c r="J76">
        <f ca="1"/>
        <v>29</v>
      </c>
      <c r="K76">
        <f ca="1"/>
        <v>364.51</v>
      </c>
      <c r="L76">
        <f ca="1"/>
        <v>4.3190713996490758E-3</v>
      </c>
      <c r="M76">
        <f ca="1"/>
        <v>0.90625</v>
      </c>
      <c r="N76">
        <f ca="1"/>
        <v>7.0821874999999999</v>
      </c>
      <c r="O76">
        <f ca="1"/>
        <v>7.8148275862068965</v>
      </c>
      <c r="P76">
        <f ca="1"/>
        <v>1.6083925340863963</v>
      </c>
    </row>
    <row r="77" spans="1:16">
      <c r="A77" s="1">
        <f ca="1"/>
        <v>46048</v>
      </c>
      <c r="B77" t="str">
        <f ca="1"/>
        <v>Google</v>
      </c>
      <c r="C77" t="str">
        <f ca="1"/>
        <v>PMax</v>
      </c>
      <c r="D77" t="str">
        <f ca="1"/>
        <v>Group_2</v>
      </c>
      <c r="E77" t="str">
        <f ca="1"/>
        <v>Headline_C</v>
      </c>
      <c r="F77">
        <f ca="1"/>
        <v>177.44</v>
      </c>
      <c r="G77">
        <f ca="1"/>
        <v>14200</v>
      </c>
      <c r="H77">
        <f ca="1"/>
        <v>458</v>
      </c>
      <c r="I77">
        <f ca="1"/>
        <v>0</v>
      </c>
      <c r="J77">
        <f ca="1"/>
        <v>3</v>
      </c>
      <c r="K77">
        <f ca="1"/>
        <v>1312.73</v>
      </c>
      <c r="L77">
        <f ca="1"/>
        <v>3.2253521126760561E-2</v>
      </c>
      <c r="M77">
        <f ca="1"/>
        <v>6.5502183406113534E-3</v>
      </c>
      <c r="N77">
        <f ca="1"/>
        <v>0.38742358078602618</v>
      </c>
      <c r="O77">
        <f ca="1"/>
        <v>59.146666666666668</v>
      </c>
      <c r="P77">
        <f ca="1"/>
        <v>7.3981627592425614</v>
      </c>
    </row>
    <row r="78" spans="1:16">
      <c r="A78" s="1">
        <f ca="1"/>
        <v>46049</v>
      </c>
      <c r="B78" t="str">
        <f ca="1"/>
        <v>Google</v>
      </c>
      <c r="C78" t="str">
        <f ca="1"/>
        <v>PMax</v>
      </c>
      <c r="D78" t="str">
        <f ca="1"/>
        <v>Group_3</v>
      </c>
      <c r="E78" t="str">
        <f ca="1"/>
        <v>Headline_C</v>
      </c>
      <c r="F78">
        <f ca="1"/>
        <v>175.55</v>
      </c>
      <c r="G78">
        <f ca="1"/>
        <v>6187</v>
      </c>
      <c r="H78">
        <f ca="1"/>
        <v>171</v>
      </c>
      <c r="I78">
        <f ca="1"/>
        <v>0</v>
      </c>
      <c r="J78">
        <f ca="1"/>
        <v>34</v>
      </c>
      <c r="K78">
        <f ca="1"/>
        <v>1095.19</v>
      </c>
      <c r="L78">
        <f ca="1"/>
        <v>2.763859705834815E-2</v>
      </c>
      <c r="M78">
        <f ca="1"/>
        <v>0.19883040935672514</v>
      </c>
      <c r="N78">
        <f ca="1"/>
        <v>1.026608187134503</v>
      </c>
      <c r="O78">
        <f ca="1"/>
        <v>5.1632352941176478</v>
      </c>
      <c r="P78">
        <f ca="1"/>
        <v>6.2386214753631446</v>
      </c>
    </row>
    <row r="79" spans="1:16">
      <c r="A79" s="1">
        <f ca="1"/>
        <v>46050</v>
      </c>
      <c r="B79" t="str">
        <f ca="1"/>
        <v>Google</v>
      </c>
      <c r="C79" t="str">
        <f ca="1"/>
        <v>Search_Brand</v>
      </c>
      <c r="D79" t="str">
        <f ca="1"/>
        <v>Group_3</v>
      </c>
      <c r="E79" t="str">
        <f ca="1"/>
        <v>Headline_C</v>
      </c>
      <c r="F79">
        <f ca="1"/>
        <v>208.31</v>
      </c>
      <c r="G79">
        <f ca="1"/>
        <v>12718</v>
      </c>
      <c r="H79">
        <f ca="1"/>
        <v>405</v>
      </c>
      <c r="I79">
        <f ca="1"/>
        <v>0</v>
      </c>
      <c r="J79">
        <f ca="1"/>
        <v>27</v>
      </c>
      <c r="K79">
        <f ca="1"/>
        <v>879.11</v>
      </c>
      <c r="L79">
        <f ca="1"/>
        <v>3.1844629658751379E-2</v>
      </c>
      <c r="M79">
        <f ca="1"/>
        <v>6.6666666666666666E-2</v>
      </c>
      <c r="N79">
        <f ca="1"/>
        <v>0.51434567901234574</v>
      </c>
      <c r="O79">
        <f ca="1"/>
        <v>7.7151851851851854</v>
      </c>
      <c r="P79">
        <f ca="1"/>
        <v>4.2202006624741975</v>
      </c>
    </row>
    <row r="80" spans="1:16">
      <c r="A80" s="1">
        <f ca="1"/>
        <v>46051</v>
      </c>
      <c r="B80" t="str">
        <f ca="1"/>
        <v>Google</v>
      </c>
      <c r="C80" t="str">
        <f ca="1"/>
        <v>Search_Generic</v>
      </c>
      <c r="D80" t="str">
        <f ca="1"/>
        <v>Group_2</v>
      </c>
      <c r="E80" t="str">
        <f ca="1"/>
        <v>Headline_C</v>
      </c>
      <c r="F80">
        <f ca="1"/>
        <v>139.47</v>
      </c>
      <c r="G80">
        <f ca="1"/>
        <v>12634</v>
      </c>
      <c r="H80">
        <f ca="1"/>
        <v>699</v>
      </c>
      <c r="I80">
        <f ca="1"/>
        <v>0</v>
      </c>
      <c r="J80">
        <f ca="1"/>
        <v>13</v>
      </c>
      <c r="K80">
        <f ca="1"/>
        <v>749.58</v>
      </c>
      <c r="L80">
        <f ca="1"/>
        <v>5.5326895678328318E-2</v>
      </c>
      <c r="M80">
        <f ca="1"/>
        <v>1.8597997138769671E-2</v>
      </c>
      <c r="N80">
        <f ca="1"/>
        <v>0.19952789699570816</v>
      </c>
      <c r="O80">
        <f ca="1"/>
        <v>10.728461538461538</v>
      </c>
      <c r="P80">
        <f ca="1"/>
        <v>5.3744891374489141</v>
      </c>
    </row>
    <row r="81" spans="1:16">
      <c r="A81" s="1">
        <f ca="1"/>
        <v>46052</v>
      </c>
      <c r="B81" t="str">
        <f ca="1"/>
        <v>Google</v>
      </c>
      <c r="C81" t="str">
        <f ca="1"/>
        <v>Search_Brand</v>
      </c>
      <c r="D81" t="str">
        <f ca="1"/>
        <v>Group_2</v>
      </c>
      <c r="E81" t="str">
        <f ca="1"/>
        <v>Headline_B</v>
      </c>
      <c r="F81">
        <f ca="1"/>
        <v>206.54</v>
      </c>
      <c r="G81">
        <f ca="1"/>
        <v>4793</v>
      </c>
      <c r="H81">
        <f ca="1"/>
        <v>353</v>
      </c>
      <c r="I81">
        <f ca="1"/>
        <v>0</v>
      </c>
      <c r="J81">
        <f ca="1"/>
        <v>33</v>
      </c>
      <c r="K81">
        <f ca="1"/>
        <v>851.39</v>
      </c>
      <c r="L81">
        <f ca="1"/>
        <v>7.3649071562695595E-2</v>
      </c>
      <c r="M81">
        <f ca="1"/>
        <v>9.3484419263456089E-2</v>
      </c>
      <c r="N81">
        <f ca="1"/>
        <v>0.58509915014164304</v>
      </c>
      <c r="O81">
        <f ca="1"/>
        <v>6.2587878787878788</v>
      </c>
      <c r="P81">
        <f ca="1"/>
        <v>4.1221555146702817</v>
      </c>
    </row>
    <row r="82" spans="1:16">
      <c r="A82" s="1">
        <f ca="1"/>
        <v>46037</v>
      </c>
      <c r="B82" t="str">
        <f ca="1"/>
        <v>Google</v>
      </c>
      <c r="C82" t="str">
        <f ca="1"/>
        <v>Search_Brand</v>
      </c>
      <c r="D82" t="str">
        <f ca="1"/>
        <v>Group_3</v>
      </c>
      <c r="E82" t="str">
        <f ca="1"/>
        <v>Headline_B</v>
      </c>
      <c r="F82">
        <f ca="1"/>
        <v>211.96</v>
      </c>
      <c r="G82">
        <f ca="1"/>
        <v>1190</v>
      </c>
      <c r="H82">
        <f ca="1"/>
        <v>739</v>
      </c>
      <c r="I82">
        <f ca="1"/>
        <v>0</v>
      </c>
      <c r="J82">
        <f ca="1"/>
        <v>23</v>
      </c>
      <c r="K82">
        <f ca="1"/>
        <v>929.62</v>
      </c>
      <c r="L82">
        <f ca="1"/>
        <v>0.62100840336134455</v>
      </c>
      <c r="M82">
        <f ca="1"/>
        <v>3.1123139377537211E-2</v>
      </c>
      <c r="N82">
        <f ca="1"/>
        <v>0.28682002706359949</v>
      </c>
      <c r="O82">
        <f ca="1"/>
        <v>9.2156521739130444</v>
      </c>
      <c r="P82">
        <f ca="1"/>
        <v>4.3858275146254009</v>
      </c>
    </row>
    <row r="83" spans="1:16">
      <c r="A83" s="1">
        <f ca="1"/>
        <v>46038</v>
      </c>
      <c r="B83" t="str">
        <f ca="1"/>
        <v>Google</v>
      </c>
      <c r="C83" t="str">
        <f ca="1"/>
        <v>Search_Brand</v>
      </c>
      <c r="D83" t="str">
        <f ca="1"/>
        <v>Group_2</v>
      </c>
      <c r="E83" t="str">
        <f ca="1"/>
        <v>Headline_A</v>
      </c>
      <c r="F83">
        <f ca="1"/>
        <v>110.03</v>
      </c>
      <c r="G83">
        <f ca="1"/>
        <v>12845</v>
      </c>
      <c r="H83">
        <f ca="1"/>
        <v>836</v>
      </c>
      <c r="I83">
        <f ca="1"/>
        <v>0</v>
      </c>
      <c r="J83">
        <f ca="1"/>
        <v>10</v>
      </c>
      <c r="K83">
        <f ca="1"/>
        <v>942.38</v>
      </c>
      <c r="L83">
        <f ca="1"/>
        <v>6.5083690151810036E-2</v>
      </c>
      <c r="M83">
        <f ca="1"/>
        <v>1.1961722488038277E-2</v>
      </c>
      <c r="N83">
        <f ca="1"/>
        <v>0.13161483253588516</v>
      </c>
      <c r="O83">
        <f ca="1"/>
        <v>11.003</v>
      </c>
      <c r="P83">
        <f ca="1"/>
        <v>8.5647550667999628</v>
      </c>
    </row>
    <row r="84" spans="1:16">
      <c r="A84" s="1">
        <f ca="1"/>
        <v>46039</v>
      </c>
      <c r="B84" t="str">
        <f ca="1"/>
        <v>Google</v>
      </c>
      <c r="C84" t="str">
        <f ca="1"/>
        <v>Search_Generic</v>
      </c>
      <c r="D84" t="str">
        <f ca="1"/>
        <v>Group_1</v>
      </c>
      <c r="E84" t="str">
        <f ca="1"/>
        <v>Headline_B</v>
      </c>
      <c r="F84">
        <f ca="1"/>
        <v>196.16</v>
      </c>
      <c r="G84">
        <f ca="1"/>
        <v>5230</v>
      </c>
      <c r="H84">
        <f ca="1"/>
        <v>469</v>
      </c>
      <c r="I84">
        <f ca="1"/>
        <v>0</v>
      </c>
      <c r="J84">
        <f ca="1"/>
        <v>32</v>
      </c>
      <c r="K84">
        <f ca="1"/>
        <v>431.51</v>
      </c>
      <c r="L84">
        <f ca="1"/>
        <v>8.967495219885277E-2</v>
      </c>
      <c r="M84">
        <f ca="1"/>
        <v>6.8230277185501065E-2</v>
      </c>
      <c r="N84">
        <f ca="1"/>
        <v>0.41825159914712151</v>
      </c>
      <c r="O84">
        <f ca="1"/>
        <v>6.13</v>
      </c>
      <c r="P84">
        <f ca="1"/>
        <v>2.1997858890701467</v>
      </c>
    </row>
    <row r="85" spans="1:16">
      <c r="A85" s="1">
        <f ca="1"/>
        <v>46040</v>
      </c>
      <c r="B85" t="str">
        <f ca="1"/>
        <v>Google</v>
      </c>
      <c r="C85" t="str">
        <f ca="1"/>
        <v>Search_Brand</v>
      </c>
      <c r="D85" t="str">
        <f ca="1"/>
        <v>Group_2</v>
      </c>
      <c r="E85" t="str">
        <f ca="1"/>
        <v>Headline_B</v>
      </c>
      <c r="F85">
        <f ca="1"/>
        <v>114.18</v>
      </c>
      <c r="G85">
        <f ca="1"/>
        <v>9620</v>
      </c>
      <c r="H85">
        <f ca="1"/>
        <v>348</v>
      </c>
      <c r="I85">
        <f ca="1"/>
        <v>0</v>
      </c>
      <c r="J85">
        <f ca="1"/>
        <v>30</v>
      </c>
      <c r="K85">
        <f ca="1"/>
        <v>872.95</v>
      </c>
      <c r="L85">
        <f ca="1"/>
        <v>3.6174636174636177E-2</v>
      </c>
      <c r="M85">
        <f ca="1"/>
        <v>8.6206896551724144E-2</v>
      </c>
      <c r="N85">
        <f ca="1"/>
        <v>0.32810344827586208</v>
      </c>
      <c r="O85">
        <f ca="1"/>
        <v>3.806</v>
      </c>
      <c r="P85">
        <f ca="1"/>
        <v>7.6453844806445961</v>
      </c>
    </row>
    <row r="86" spans="1:16">
      <c r="A86" s="1">
        <f ca="1"/>
        <v>46041</v>
      </c>
      <c r="B86" t="str">
        <f ca="1"/>
        <v>Google</v>
      </c>
      <c r="C86" t="str">
        <f ca="1"/>
        <v>Search_Generic</v>
      </c>
      <c r="D86" t="str">
        <f ca="1"/>
        <v>Group_3</v>
      </c>
      <c r="E86" t="str">
        <f ca="1"/>
        <v>Headline_B</v>
      </c>
      <c r="F86">
        <f ca="1"/>
        <v>98.16</v>
      </c>
      <c r="G86">
        <f ca="1"/>
        <v>8486</v>
      </c>
      <c r="H86">
        <f ca="1"/>
        <v>331</v>
      </c>
      <c r="I86">
        <f ca="1"/>
        <v>0</v>
      </c>
      <c r="J86">
        <f ca="1"/>
        <v>39</v>
      </c>
      <c r="K86">
        <f ca="1"/>
        <v>400.27</v>
      </c>
      <c r="L86">
        <f ca="1"/>
        <v>3.9005420692905961E-2</v>
      </c>
      <c r="M86">
        <f ca="1"/>
        <v>0.11782477341389729</v>
      </c>
      <c r="N86">
        <f ca="1"/>
        <v>0.29655589123867071</v>
      </c>
      <c r="O86">
        <f ca="1"/>
        <v>2.516923076923077</v>
      </c>
      <c r="P86">
        <f ca="1"/>
        <v>4.0777302363488186</v>
      </c>
    </row>
    <row r="87" spans="1:16">
      <c r="A87" s="1">
        <f ca="1"/>
        <v>46042</v>
      </c>
      <c r="B87" t="str">
        <f ca="1"/>
        <v>Google</v>
      </c>
      <c r="C87" t="str">
        <f ca="1"/>
        <v>PMax</v>
      </c>
      <c r="D87" t="str">
        <f ca="1"/>
        <v>Group_1</v>
      </c>
      <c r="E87" t="str">
        <f ca="1"/>
        <v>Headline_C</v>
      </c>
      <c r="F87">
        <f ca="1"/>
        <v>240.28</v>
      </c>
      <c r="G87">
        <f ca="1"/>
        <v>5032</v>
      </c>
      <c r="H87">
        <f ca="1"/>
        <v>373</v>
      </c>
      <c r="I87">
        <f ca="1"/>
        <v>0</v>
      </c>
      <c r="J87">
        <f ca="1"/>
        <v>31</v>
      </c>
      <c r="K87">
        <f ca="1"/>
        <v>308.37</v>
      </c>
      <c r="L87">
        <f ca="1"/>
        <v>7.4125596184419718E-2</v>
      </c>
      <c r="M87">
        <f ca="1"/>
        <v>8.3109919571045576E-2</v>
      </c>
      <c r="N87">
        <f ca="1"/>
        <v>0.64418230563002676</v>
      </c>
      <c r="O87">
        <f ca="1"/>
        <v>7.7509677419354839</v>
      </c>
      <c r="P87">
        <f ca="1"/>
        <v>1.2833777259863492</v>
      </c>
    </row>
    <row r="88" spans="1:16">
      <c r="A88" s="1">
        <f ca="1"/>
        <v>46043</v>
      </c>
      <c r="B88" t="str">
        <f ca="1"/>
        <v>Google</v>
      </c>
      <c r="C88" t="str">
        <f ca="1"/>
        <v>Search_Generic</v>
      </c>
      <c r="D88" t="str">
        <f ca="1"/>
        <v>Group_2</v>
      </c>
      <c r="E88" t="str">
        <f ca="1"/>
        <v>Headline_C</v>
      </c>
      <c r="F88">
        <f ca="1"/>
        <v>58.33</v>
      </c>
      <c r="G88">
        <f ca="1"/>
        <v>11922</v>
      </c>
      <c r="H88">
        <f ca="1"/>
        <v>40</v>
      </c>
      <c r="I88">
        <f ca="1"/>
        <v>0</v>
      </c>
      <c r="J88">
        <f ca="1"/>
        <v>18</v>
      </c>
      <c r="K88">
        <f ca="1"/>
        <v>1005.16</v>
      </c>
      <c r="L88">
        <f ca="1"/>
        <v>3.3551417547391378E-3</v>
      </c>
      <c r="M88">
        <f ca="1"/>
        <v>0.45</v>
      </c>
      <c r="N88">
        <f ca="1"/>
        <v>1.45825</v>
      </c>
      <c r="O88">
        <f ca="1"/>
        <v>3.2405555555555554</v>
      </c>
      <c r="P88">
        <f ca="1"/>
        <v>17.23229898851363</v>
      </c>
    </row>
    <row r="89" spans="1:16">
      <c r="A89" s="1">
        <f ca="1"/>
        <v>46044</v>
      </c>
      <c r="B89" t="str">
        <f ca="1"/>
        <v>Google</v>
      </c>
      <c r="C89" t="str">
        <f ca="1"/>
        <v>PMax</v>
      </c>
      <c r="D89" t="str">
        <f ca="1"/>
        <v>Group_1</v>
      </c>
      <c r="E89" t="str">
        <f ca="1"/>
        <v>Headline_A</v>
      </c>
      <c r="F89">
        <f ca="1"/>
        <v>36.229999999999997</v>
      </c>
      <c r="G89">
        <f ca="1"/>
        <v>8807</v>
      </c>
      <c r="H89">
        <f ca="1"/>
        <v>91</v>
      </c>
      <c r="I89">
        <f ca="1"/>
        <v>0</v>
      </c>
      <c r="J89">
        <f ca="1"/>
        <v>36</v>
      </c>
      <c r="K89">
        <f ca="1"/>
        <v>542.80999999999995</v>
      </c>
      <c r="L89">
        <f ca="1"/>
        <v>1.0332689905756785E-2</v>
      </c>
      <c r="M89">
        <f ca="1"/>
        <v>0.39560439560439559</v>
      </c>
      <c r="N89">
        <f ca="1"/>
        <v>0.39813186813186807</v>
      </c>
      <c r="O89">
        <f ca="1"/>
        <v>1.0063888888888888</v>
      </c>
      <c r="P89">
        <f ca="1"/>
        <v>14.982335081424234</v>
      </c>
    </row>
    <row r="90" spans="1:16">
      <c r="A90" s="1">
        <f ca="1"/>
        <v>46045</v>
      </c>
      <c r="B90" t="str">
        <f ca="1"/>
        <v>Google</v>
      </c>
      <c r="C90" t="str">
        <f ca="1"/>
        <v>Search_Brand</v>
      </c>
      <c r="D90" t="str">
        <f ca="1"/>
        <v>Group_2</v>
      </c>
      <c r="E90" t="str">
        <f ca="1"/>
        <v>Headline_A</v>
      </c>
      <c r="F90">
        <f ca="1"/>
        <v>196.18</v>
      </c>
      <c r="G90">
        <f ca="1"/>
        <v>2321</v>
      </c>
      <c r="H90">
        <f ca="1"/>
        <v>874</v>
      </c>
      <c r="I90">
        <f ca="1"/>
        <v>0</v>
      </c>
      <c r="J90">
        <f ca="1"/>
        <v>2</v>
      </c>
      <c r="K90">
        <f ca="1"/>
        <v>918.17</v>
      </c>
      <c r="L90">
        <f ca="1"/>
        <v>0.37656182679879363</v>
      </c>
      <c r="M90">
        <f ca="1"/>
        <v>2.2883295194508009E-3</v>
      </c>
      <c r="N90">
        <f ca="1"/>
        <v>0.22446224256292907</v>
      </c>
      <c r="O90">
        <f ca="1"/>
        <v>98.09</v>
      </c>
      <c r="P90">
        <f ca="1"/>
        <v>4.680242634315424</v>
      </c>
    </row>
    <row r="91" spans="1:16">
      <c r="A91" s="1">
        <f ca="1"/>
        <v>46046</v>
      </c>
      <c r="B91" t="str">
        <f ca="1"/>
        <v>Google</v>
      </c>
      <c r="C91" t="str">
        <f ca="1"/>
        <v>Search_Generic</v>
      </c>
      <c r="D91" t="str">
        <f ca="1"/>
        <v>Group_3</v>
      </c>
      <c r="E91" t="str">
        <f ca="1"/>
        <v>Headline_C</v>
      </c>
      <c r="F91">
        <f ca="1"/>
        <v>31.04</v>
      </c>
      <c r="G91">
        <f ca="1"/>
        <v>9818</v>
      </c>
      <c r="H91">
        <f ca="1"/>
        <v>255</v>
      </c>
      <c r="I91">
        <f ca="1"/>
        <v>0</v>
      </c>
      <c r="J91">
        <f ca="1"/>
        <v>14</v>
      </c>
      <c r="K91">
        <f ca="1"/>
        <v>695.21</v>
      </c>
      <c r="L91">
        <f ca="1"/>
        <v>2.5972703198207374E-2</v>
      </c>
      <c r="M91">
        <f ca="1"/>
        <v>5.4901960784313725E-2</v>
      </c>
      <c r="N91">
        <f ca="1"/>
        <v>0.12172549019607842</v>
      </c>
      <c r="O91">
        <f ca="1"/>
        <v>2.2171428571428571</v>
      </c>
      <c r="P91">
        <f ca="1"/>
        <v>22.397229381443299</v>
      </c>
    </row>
    <row r="92" spans="1:16">
      <c r="A92" s="1">
        <f ca="1"/>
        <v>46047</v>
      </c>
      <c r="B92" t="str">
        <f ca="1"/>
        <v>Google</v>
      </c>
      <c r="C92" t="str">
        <f ca="1"/>
        <v>Search_Brand</v>
      </c>
      <c r="D92" t="str">
        <f ca="1"/>
        <v>Group_3</v>
      </c>
      <c r="E92" t="str">
        <f ca="1"/>
        <v>Headline_C</v>
      </c>
      <c r="F92">
        <f ca="1"/>
        <v>211.71</v>
      </c>
      <c r="G92">
        <f ca="1"/>
        <v>13814</v>
      </c>
      <c r="H92">
        <f ca="1"/>
        <v>182</v>
      </c>
      <c r="I92">
        <f ca="1"/>
        <v>0</v>
      </c>
      <c r="J92">
        <f ca="1"/>
        <v>13</v>
      </c>
      <c r="K92">
        <f ca="1"/>
        <v>1477.78</v>
      </c>
      <c r="L92">
        <f ca="1"/>
        <v>1.3175039814680758E-2</v>
      </c>
      <c r="M92">
        <f ca="1"/>
        <v>7.1428571428571425E-2</v>
      </c>
      <c r="N92">
        <f ca="1"/>
        <v>1.1632417582417582</v>
      </c>
      <c r="O92">
        <f ca="1"/>
        <v>16.285384615384615</v>
      </c>
      <c r="P92">
        <f ca="1"/>
        <v>6.9802087761560623</v>
      </c>
    </row>
    <row r="93" spans="1:16">
      <c r="A93" s="1">
        <f ca="1"/>
        <v>46048</v>
      </c>
      <c r="B93" t="str">
        <f ca="1"/>
        <v>Google</v>
      </c>
      <c r="C93" t="str">
        <f ca="1"/>
        <v>PMax</v>
      </c>
      <c r="D93" t="str">
        <f ca="1"/>
        <v>Group_1</v>
      </c>
      <c r="E93" t="str">
        <f ca="1"/>
        <v>Headline_C</v>
      </c>
      <c r="F93">
        <f ca="1"/>
        <v>117.74</v>
      </c>
      <c r="G93">
        <f ca="1"/>
        <v>2300</v>
      </c>
      <c r="H93">
        <f ca="1"/>
        <v>740</v>
      </c>
      <c r="I93">
        <f ca="1"/>
        <v>0</v>
      </c>
      <c r="J93">
        <f ca="1"/>
        <v>29</v>
      </c>
      <c r="K93">
        <f ca="1"/>
        <v>292.39999999999998</v>
      </c>
      <c r="L93">
        <f ca="1"/>
        <v>0.32173913043478258</v>
      </c>
      <c r="M93">
        <f ca="1"/>
        <v>3.9189189189189191E-2</v>
      </c>
      <c r="N93">
        <f ca="1"/>
        <v>0.1591081081081081</v>
      </c>
      <c r="O93">
        <f ca="1"/>
        <v>4.0599999999999996</v>
      </c>
      <c r="P93">
        <f ca="1"/>
        <v>2.483438083913708</v>
      </c>
    </row>
    <row r="94" spans="1:16">
      <c r="A94" s="1">
        <f ca="1"/>
        <v>46049</v>
      </c>
      <c r="B94" t="str">
        <f ca="1"/>
        <v>Google</v>
      </c>
      <c r="C94" t="str">
        <f ca="1"/>
        <v>PMax</v>
      </c>
      <c r="D94" t="str">
        <f ca="1"/>
        <v>Group_2</v>
      </c>
      <c r="E94" t="str">
        <f ca="1"/>
        <v>Headline_B</v>
      </c>
      <c r="F94">
        <f ca="1"/>
        <v>230.15</v>
      </c>
      <c r="G94">
        <f ca="1"/>
        <v>7537</v>
      </c>
      <c r="H94">
        <f ca="1"/>
        <v>593</v>
      </c>
      <c r="I94">
        <f ca="1"/>
        <v>0</v>
      </c>
      <c r="J94">
        <f ca="1"/>
        <v>12</v>
      </c>
      <c r="K94">
        <f ca="1"/>
        <v>739.73</v>
      </c>
      <c r="L94">
        <f ca="1"/>
        <v>7.8678519304763161E-2</v>
      </c>
      <c r="M94">
        <f ca="1"/>
        <v>2.0236087689713321E-2</v>
      </c>
      <c r="N94">
        <f ca="1"/>
        <v>0.38811129848229342</v>
      </c>
      <c r="O94">
        <f ca="1"/>
        <v>19.179166666666667</v>
      </c>
      <c r="P94">
        <f ca="1"/>
        <v>3.2141212252878559</v>
      </c>
    </row>
    <row r="95" spans="1:16">
      <c r="A95" s="1">
        <f ca="1"/>
        <v>46050</v>
      </c>
      <c r="B95" t="str">
        <f ca="1"/>
        <v>Google</v>
      </c>
      <c r="C95" t="str">
        <f ca="1"/>
        <v>PMax</v>
      </c>
      <c r="D95" t="str">
        <f ca="1"/>
        <v>Group_1</v>
      </c>
      <c r="E95" t="str">
        <f ca="1"/>
        <v>Headline_B</v>
      </c>
      <c r="F95">
        <f ca="1"/>
        <v>184.56</v>
      </c>
      <c r="G95">
        <f ca="1"/>
        <v>4094</v>
      </c>
      <c r="H95">
        <f ca="1"/>
        <v>801</v>
      </c>
      <c r="I95">
        <f ca="1"/>
        <v>0</v>
      </c>
      <c r="J95">
        <f ca="1"/>
        <v>39</v>
      </c>
      <c r="K95">
        <f ca="1"/>
        <v>1046.25</v>
      </c>
      <c r="L95">
        <f ca="1"/>
        <v>0.19565217391304349</v>
      </c>
      <c r="M95">
        <f ca="1"/>
        <v>4.8689138576779027E-2</v>
      </c>
      <c r="N95">
        <f ca="1"/>
        <v>0.23041198501872659</v>
      </c>
      <c r="O95">
        <f ca="1"/>
        <v>4.7323076923076925</v>
      </c>
      <c r="P95">
        <f ca="1"/>
        <v>5.6688881664499347</v>
      </c>
    </row>
    <row r="96" spans="1:16">
      <c r="A96" s="1">
        <f ca="1"/>
        <v>46051</v>
      </c>
      <c r="B96" t="str">
        <f ca="1"/>
        <v>Google</v>
      </c>
      <c r="C96" t="str">
        <f ca="1"/>
        <v>Search_Brand</v>
      </c>
      <c r="D96" t="str">
        <f ca="1"/>
        <v>Group_1</v>
      </c>
      <c r="E96" t="str">
        <f ca="1"/>
        <v>Headline_C</v>
      </c>
      <c r="F96">
        <f ca="1"/>
        <v>158.44999999999999</v>
      </c>
      <c r="G96">
        <f ca="1"/>
        <v>5885</v>
      </c>
      <c r="H96">
        <f ca="1"/>
        <v>600</v>
      </c>
      <c r="I96">
        <f ca="1"/>
        <v>0</v>
      </c>
      <c r="J96">
        <f ca="1"/>
        <v>2</v>
      </c>
      <c r="K96">
        <f ca="1"/>
        <v>641.66999999999996</v>
      </c>
      <c r="L96">
        <f ca="1"/>
        <v>0.10195412064570943</v>
      </c>
      <c r="M96">
        <f ca="1"/>
        <v>3.3333333333333335E-3</v>
      </c>
      <c r="N96">
        <f ca="1"/>
        <v>0.26408333333333334</v>
      </c>
      <c r="O96">
        <f ca="1"/>
        <v>79.224999999999994</v>
      </c>
      <c r="P96">
        <f ca="1"/>
        <v>4.0496686651940674</v>
      </c>
    </row>
    <row r="97" spans="1:16">
      <c r="A97" s="1">
        <f ca="1"/>
        <v>46052</v>
      </c>
      <c r="B97" t="str">
        <f ca="1"/>
        <v>Google</v>
      </c>
      <c r="C97" t="str">
        <f ca="1"/>
        <v>Search_Brand</v>
      </c>
      <c r="D97" t="str">
        <f ca="1"/>
        <v>Group_2</v>
      </c>
      <c r="E97" t="str">
        <f ca="1"/>
        <v>Headline_B</v>
      </c>
      <c r="F97">
        <f ca="1"/>
        <v>238.09</v>
      </c>
      <c r="G97">
        <f ca="1"/>
        <v>3219</v>
      </c>
      <c r="H97">
        <f ca="1"/>
        <v>613</v>
      </c>
      <c r="I97">
        <f ca="1"/>
        <v>0</v>
      </c>
      <c r="J97">
        <f ca="1"/>
        <v>32</v>
      </c>
      <c r="K97">
        <f ca="1"/>
        <v>1464.07</v>
      </c>
      <c r="L97">
        <f ca="1"/>
        <v>0.19043181112146629</v>
      </c>
      <c r="M97">
        <f ca="1"/>
        <v>5.2202283849918436E-2</v>
      </c>
      <c r="N97">
        <f ca="1"/>
        <v>0.38840130505709625</v>
      </c>
      <c r="O97">
        <f ca="1"/>
        <v>7.4403125000000001</v>
      </c>
      <c r="P97">
        <f ca="1"/>
        <v>6.1492292830442263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CA3E-5623-44A9-BA43-23D791570527}">
  <dimension ref="A1:H8"/>
  <sheetViews>
    <sheetView workbookViewId="0">
      <selection activeCell="H2" sqref="H2"/>
    </sheetView>
  </sheetViews>
  <sheetFormatPr defaultRowHeight="14.4"/>
  <cols>
    <col min="1" max="1" width="14" bestFit="1" customWidth="1"/>
    <col min="2" max="2" width="8.88671875" style="12"/>
    <col min="3" max="3" width="9.5546875" bestFit="1" customWidth="1"/>
    <col min="4" max="6" width="8.88671875" style="12"/>
  </cols>
  <sheetData>
    <row r="1" spans="1:8">
      <c r="A1" s="7" t="s">
        <v>10</v>
      </c>
      <c r="B1" s="10" t="s">
        <v>13</v>
      </c>
      <c r="C1" s="7" t="s">
        <v>17</v>
      </c>
      <c r="D1" s="10" t="s">
        <v>33</v>
      </c>
      <c r="E1" s="10" t="s">
        <v>163</v>
      </c>
      <c r="F1" s="10" t="s">
        <v>162</v>
      </c>
      <c r="G1" s="7" t="s">
        <v>160</v>
      </c>
      <c r="H1" s="7" t="s">
        <v>166</v>
      </c>
    </row>
    <row r="2" spans="1:8">
      <c r="A2" s="3" t="str" cm="1">
        <f t="array" aca="1" ref="A2:A8" ca="1">_xlfn.UNIQUE('21_Model_Filtered'!C2:C10000)</f>
        <v>Campaign_B</v>
      </c>
      <c r="B2" s="11">
        <f ca="1">SUMIFS('21_Model_Filtered'!F:F,'21_Model_Filtered'!C:C,A2)</f>
        <v>3473.3399999999992</v>
      </c>
      <c r="C2" s="3">
        <f ca="1">SUMIFS('21_Model_Filtered'!J:J,'21_Model_Filtered'!C:C,A2)</f>
        <v>656</v>
      </c>
      <c r="D2" s="11">
        <f ca="1">SUMIFS('21_Model_Filtered'!K:K,'21_Model_Filtered'!C:C,A2)</f>
        <v>15964.279999999999</v>
      </c>
      <c r="E2" s="11">
        <f ca="1">IFERROR(D2/B2,0)</f>
        <v>4.5962330206659878</v>
      </c>
      <c r="F2" s="11">
        <f ca="1">IFERROR(B2/C2,0)</f>
        <v>5.294725609756096</v>
      </c>
      <c r="G2" s="9">
        <f ca="1">IFERROR(C2/SUMIFS('21_Model_Filtered'!H:H,'21_Model_Filtered'!C:C,A2),0)</f>
        <v>4.8136190196653945E-2</v>
      </c>
      <c r="H2" t="str">
        <f ca="1">IF(AND(B2&gt;='00_Control'!B6,C2&gt;='00_Control'!B7,E2&gt;='00_Control'!B8),"SCALE",
IF(E2&lt;='00_Control'!B9,"KILL","WATCH"))</f>
        <v>SCALE</v>
      </c>
    </row>
    <row r="3" spans="1:8">
      <c r="A3" t="str">
        <f ca="1"/>
        <v>Campaign_A</v>
      </c>
      <c r="B3" s="11">
        <f ca="1">SUMIFS('21_Model_Filtered'!F:F,'21_Model_Filtered'!C:C,A3)</f>
        <v>2900.8900000000003</v>
      </c>
      <c r="C3" s="3">
        <f ca="1">SUMIFS('21_Model_Filtered'!J:J,'21_Model_Filtered'!C:C,A3)</f>
        <v>328</v>
      </c>
      <c r="D3" s="11">
        <f ca="1">SUMIFS('21_Model_Filtered'!K:K,'21_Model_Filtered'!C:C,A3)</f>
        <v>14381.26</v>
      </c>
      <c r="E3" s="11">
        <f t="shared" ref="E3:E8" ca="1" si="0">IFERROR(D3/B3,0)</f>
        <v>4.9575337224093294</v>
      </c>
      <c r="F3" s="11">
        <f t="shared" ref="F3:F8" ca="1" si="1">IFERROR(B3/C3,0)</f>
        <v>8.8441768292682941</v>
      </c>
      <c r="G3" s="9">
        <f ca="1">IFERROR(C3/SUMIFS('21_Model_Filtered'!H:H,'21_Model_Filtered'!C:C,A3),0)</f>
        <v>2.9241330123919052E-2</v>
      </c>
      <c r="H3" t="str">
        <f ca="1">IF(AND(B3&gt;='00_Control'!B7,C3&gt;='00_Control'!B8,E3&gt;='00_Control'!B9),"SCALE",
IF(E3&lt;='00_Control'!B10,"KILL","WATCH"))</f>
        <v>SCALE</v>
      </c>
    </row>
    <row r="4" spans="1:8">
      <c r="A4" t="str">
        <f ca="1"/>
        <v>Campaign_C</v>
      </c>
      <c r="B4" s="11">
        <f ca="1">SUMIFS('21_Model_Filtered'!F:F,'21_Model_Filtered'!C:C,A4)</f>
        <v>2306.7600000000002</v>
      </c>
      <c r="C4" s="3">
        <f ca="1">SUMIFS('21_Model_Filtered'!J:J,'21_Model_Filtered'!C:C,A4)</f>
        <v>358</v>
      </c>
      <c r="D4" s="11">
        <f ca="1">SUMIFS('21_Model_Filtered'!K:K,'21_Model_Filtered'!C:C,A4)</f>
        <v>13294.849999999999</v>
      </c>
      <c r="E4" s="11">
        <f t="shared" ca="1" si="0"/>
        <v>5.7634300924240049</v>
      </c>
      <c r="F4" s="11">
        <f t="shared" ca="1" si="1"/>
        <v>6.4434636871508388</v>
      </c>
      <c r="G4" s="9">
        <f ca="1">IFERROR(C4/SUMIFS('21_Model_Filtered'!H:H,'21_Model_Filtered'!C:C,A4),0)</f>
        <v>4.8621485807415453E-2</v>
      </c>
      <c r="H4" t="str">
        <f ca="1">IF(AND(B4&gt;='00_Control'!B8,C4&gt;='00_Control'!B9,E4&gt;='00_Control'!B10),"SCALE",
IF(E4&lt;='00_Control'!B11,"KILL","WATCH"))</f>
        <v>SCALE</v>
      </c>
    </row>
    <row r="5" spans="1:8">
      <c r="A5" t="str">
        <f ca="1"/>
        <v>Search_Generic</v>
      </c>
      <c r="B5" s="11">
        <f ca="1">SUMIFS('21_Model_Filtered'!F:F,'21_Model_Filtered'!C:C,A5)</f>
        <v>2323.31</v>
      </c>
      <c r="C5" s="3">
        <f ca="1">SUMIFS('21_Model_Filtered'!J:J,'21_Model_Filtered'!C:C,A5)</f>
        <v>342</v>
      </c>
      <c r="D5" s="11">
        <f ca="1">SUMIFS('21_Model_Filtered'!K:K,'21_Model_Filtered'!C:C,A5)</f>
        <v>12392.25</v>
      </c>
      <c r="E5" s="11">
        <f t="shared" ca="1" si="0"/>
        <v>5.3338770977613841</v>
      </c>
      <c r="F5" s="11">
        <f t="shared" ca="1" si="1"/>
        <v>6.7933040935672517</v>
      </c>
      <c r="G5" s="9">
        <f ca="1">IFERROR(C5/SUMIFS('21_Model_Filtered'!H:H,'21_Model_Filtered'!C:C,A5),0)</f>
        <v>5.184960582171013E-2</v>
      </c>
      <c r="H5" t="str">
        <f ca="1">IF(AND(B5&gt;='00_Control'!B9,C5&gt;='00_Control'!B10,E5&gt;='00_Control'!B11),"SCALE",
IF(E5&lt;='00_Control'!B12,"KILL","WATCH"))</f>
        <v>KILL</v>
      </c>
    </row>
    <row r="6" spans="1:8">
      <c r="A6" t="str">
        <f ca="1"/>
        <v>Search_Brand</v>
      </c>
      <c r="B6" s="11">
        <f ca="1">SUMIFS('21_Model_Filtered'!F:F,'21_Model_Filtered'!C:C,A6)</f>
        <v>2874.0699999999997</v>
      </c>
      <c r="C6" s="3">
        <f ca="1">SUMIFS('21_Model_Filtered'!J:J,'21_Model_Filtered'!C:C,A6)</f>
        <v>365</v>
      </c>
      <c r="D6" s="11">
        <f ca="1">SUMIFS('21_Model_Filtered'!K:K,'21_Model_Filtered'!C:C,A6)</f>
        <v>16300.480000000001</v>
      </c>
      <c r="E6" s="11">
        <f t="shared" ca="1" si="0"/>
        <v>5.6715668024787158</v>
      </c>
      <c r="F6" s="11">
        <f t="shared" ca="1" si="1"/>
        <v>7.8741643835616433</v>
      </c>
      <c r="G6" s="9">
        <f ca="1">IFERROR(C6/SUMIFS('21_Model_Filtered'!H:H,'21_Model_Filtered'!C:C,A6),0)</f>
        <v>4.4867854947756608E-2</v>
      </c>
      <c r="H6" t="str">
        <f ca="1">IF(AND(B6&gt;='00_Control'!B10,C6&gt;='00_Control'!B11,E6&gt;='00_Control'!B12),"SCALE",
IF(E6&lt;='00_Control'!B13,"KILL","WATCH"))</f>
        <v>WATCH</v>
      </c>
    </row>
    <row r="7" spans="1:8">
      <c r="A7" t="str">
        <f ca="1"/>
        <v>PMax</v>
      </c>
      <c r="B7" s="11">
        <f ca="1">SUMIFS('21_Model_Filtered'!F:F,'21_Model_Filtered'!C:C,A7)</f>
        <v>1956.3</v>
      </c>
      <c r="C7" s="3">
        <f ca="1">SUMIFS('21_Model_Filtered'!J:J,'21_Model_Filtered'!C:C,A7)</f>
        <v>313</v>
      </c>
      <c r="D7" s="11">
        <f ca="1">SUMIFS('21_Model_Filtered'!K:K,'21_Model_Filtered'!C:C,A7)</f>
        <v>11201.16</v>
      </c>
      <c r="E7" s="11">
        <f t="shared" ca="1" si="0"/>
        <v>5.7256862444410368</v>
      </c>
      <c r="F7" s="11">
        <f t="shared" ca="1" si="1"/>
        <v>6.2501597444089452</v>
      </c>
      <c r="G7" s="9">
        <f ca="1">IFERROR(C7/SUMIFS('21_Model_Filtered'!H:H,'21_Model_Filtered'!C:C,A7),0)</f>
        <v>4.35084792882958E-2</v>
      </c>
      <c r="H7" t="str">
        <f ca="1">IF(AND(B7&gt;='00_Control'!B11,C7&gt;='00_Control'!B12,E7&gt;='00_Control'!B13),"SCALE",
IF(E7&lt;='00_Control'!B14,"KILL","WATCH"))</f>
        <v>SCALE</v>
      </c>
    </row>
    <row r="8" spans="1:8">
      <c r="A8">
        <f ca="1"/>
        <v>0</v>
      </c>
      <c r="B8" s="11">
        <f ca="1">SUMIFS('21_Model_Filtered'!F:F,'21_Model_Filtered'!C:C,A8)</f>
        <v>0</v>
      </c>
      <c r="C8" s="3">
        <f ca="1">SUMIFS('21_Model_Filtered'!J:J,'21_Model_Filtered'!C:C,A8)</f>
        <v>0</v>
      </c>
      <c r="D8" s="11">
        <f ca="1">SUMIFS('21_Model_Filtered'!K:K,'21_Model_Filtered'!C:C,A8)</f>
        <v>0</v>
      </c>
      <c r="E8" s="11">
        <f t="shared" ca="1" si="0"/>
        <v>0</v>
      </c>
      <c r="F8" s="11">
        <f t="shared" ca="1" si="1"/>
        <v>0</v>
      </c>
      <c r="G8" s="3">
        <f ca="1">IFERROR(C8/SUMIFS('21_Model_Filtered'!H:H,'21_Model_Filtered'!C:C,A8),0)</f>
        <v>0</v>
      </c>
      <c r="H8" t="str">
        <f ca="1">IF(AND(B8&gt;='00_Control'!B12,C8&gt;='00_Control'!B13,E8&gt;='00_Control'!B14),"SCALE",
IF(E8&lt;='00_Control'!B15,"KILL","WATCH"))</f>
        <v>KILL</v>
      </c>
    </row>
  </sheetData>
  <conditionalFormatting sqref="H1:H1048576">
    <cfRule type="cellIs" dxfId="5" priority="1" operator="equal">
      <formula>"KILL"</formula>
    </cfRule>
    <cfRule type="cellIs" dxfId="4" priority="2" operator="equal">
      <formula>"Scale"</formula>
    </cfRule>
    <cfRule type="cellIs" dxfId="3" priority="3" operator="equal">
      <formula>"WATCH"</formula>
    </cfRule>
    <cfRule type="cellIs" priority="4" operator="equal">
      <formula>"SCALE"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7C56-FC4F-41C9-8A55-C73ADB7DA6BD}">
  <dimension ref="A1:I19"/>
  <sheetViews>
    <sheetView workbookViewId="0">
      <selection activeCell="R16" sqref="R16"/>
    </sheetView>
  </sheetViews>
  <sheetFormatPr defaultRowHeight="14.4"/>
  <cols>
    <col min="1" max="1" width="14" bestFit="1" customWidth="1"/>
    <col min="2" max="2" width="10.21875" bestFit="1" customWidth="1"/>
    <col min="3" max="3" width="8" bestFit="1" customWidth="1"/>
    <col min="4" max="4" width="9.5546875" bestFit="1" customWidth="1"/>
  </cols>
  <sheetData>
    <row r="1" spans="1:9">
      <c r="A1" s="13" t="s">
        <v>10</v>
      </c>
      <c r="B1" s="13" t="s">
        <v>12</v>
      </c>
      <c r="C1" s="13" t="s">
        <v>13</v>
      </c>
      <c r="D1" s="13" t="s">
        <v>17</v>
      </c>
      <c r="E1" s="13" t="s">
        <v>33</v>
      </c>
      <c r="F1" s="13" t="s">
        <v>163</v>
      </c>
      <c r="G1" s="13" t="s">
        <v>162</v>
      </c>
      <c r="H1" s="13" t="s">
        <v>159</v>
      </c>
      <c r="I1" s="13" t="s">
        <v>166</v>
      </c>
    </row>
    <row r="2" spans="1:9">
      <c r="A2" t="str" cm="1">
        <f t="array" aca="1" ref="A2:B19" ca="1">_xlfn.UNIQUE(_xlfn._xlws.FILTER(CHOOSE({1,2},'21_Model_Filtered'!C2:C10000,'21_Model_Filtered'!E2:E10000),'21_Model_Filtered'!E2:E10000&lt;&gt;""))</f>
        <v>Campaign_B</v>
      </c>
      <c r="B2" t="str">
        <f ca="1"/>
        <v>Creative_3</v>
      </c>
      <c r="C2">
        <f ca="1">SUMIFS('21_Model_Filtered'!F:F,'21_Model_Filtered'!C:C,$A2,'21_Model_Filtered'!E:E,$B2)</f>
        <v>1668.2200000000003</v>
      </c>
      <c r="D2" s="3">
        <f ca="1">SUMIFS('21_Model_Filtered'!J:J,'21_Model_Filtered'!C:C,$A2,'21_Model_Filtered'!E:E,$B2)</f>
        <v>265</v>
      </c>
      <c r="E2">
        <f ca="1">SUMIFS('21_Model_Filtered'!K:K,'21_Model_Filtered'!C:C,$A2,'21_Model_Filtered'!E:E,$B2)</f>
        <v>8044.7100000000009</v>
      </c>
      <c r="F2" s="3">
        <f ca="1">IFERROR(E2/C2,0)</f>
        <v>4.822331586960952</v>
      </c>
      <c r="G2" s="3">
        <f ca="1">IFERROR(C2/D2,0)</f>
        <v>6.2951698113207559</v>
      </c>
      <c r="H2">
        <f ca="1">IFERROR(
SUMIFS('21_Model_Filtered'!H:H,'21_Model_Filtered'!C:C,$A2,'21_Model_Filtered'!E:E,$B2) /
SUMIFS('21_Model_Filtered'!G:G,'21_Model_Filtered'!C:C,$A2,'21_Model_Filtered'!E:E,$B2),0)</f>
        <v>7.2008954481386292E-2</v>
      </c>
      <c r="I2" t="str">
        <f ca="1">IF(AND(C2&gt;='00_Control'!B6,D2&gt;='00_Control'!B7,F2&gt;='00_Control'!B8),"SCALE",
IF(F2&lt;='00_Control'!B9,"KILL","WATCH"))</f>
        <v>SCALE</v>
      </c>
    </row>
    <row r="3" spans="1:9">
      <c r="A3" t="str">
        <f ca="1"/>
        <v>Campaign_A</v>
      </c>
      <c r="B3" t="str">
        <f ca="1"/>
        <v>Creative_1</v>
      </c>
      <c r="C3">
        <f ca="1">SUMIFS('21_Model_Filtered'!F:F,'21_Model_Filtered'!C:C,$A3,'21_Model_Filtered'!E:E,$B3)</f>
        <v>888.05</v>
      </c>
      <c r="D3" s="3">
        <f ca="1">SUMIFS('21_Model_Filtered'!J:J,'21_Model_Filtered'!C:C,$A3,'21_Model_Filtered'!E:E,$B3)</f>
        <v>152</v>
      </c>
      <c r="E3">
        <f ca="1">SUMIFS('21_Model_Filtered'!K:K,'21_Model_Filtered'!C:C,$A3,'21_Model_Filtered'!E:E,$B3)</f>
        <v>3726.08</v>
      </c>
      <c r="F3" s="3">
        <f t="shared" ref="F3:F19" ca="1" si="0">IFERROR(E3/C3,0)</f>
        <v>4.1957997860480827</v>
      </c>
      <c r="G3" s="3">
        <f t="shared" ref="G3:G19" ca="1" si="1">IFERROR(C3/D3,0)</f>
        <v>5.8424342105263154</v>
      </c>
      <c r="H3">
        <f ca="1">IFERROR(
SUMIFS('21_Model_Filtered'!H:H,'21_Model_Filtered'!C:C,$A3,'21_Model_Filtered'!E:E,$B3) /
SUMIFS('21_Model_Filtered'!G:G,'21_Model_Filtered'!C:C,$A3,'21_Model_Filtered'!E:E,$B3),0)</f>
        <v>6.0048753409118333E-2</v>
      </c>
      <c r="I3" t="str">
        <f ca="1">IF(AND(C3&gt;='00_Control'!B7,D3&gt;='00_Control'!B8,F3&gt;='00_Control'!B9),"SCALE",
IF(F3&lt;='00_Control'!B10,"KILL","WATCH"))</f>
        <v>SCALE</v>
      </c>
    </row>
    <row r="4" spans="1:9">
      <c r="A4" t="str">
        <f ca="1"/>
        <v>Campaign_B</v>
      </c>
      <c r="B4" t="str">
        <f ca="1"/>
        <v>Creative_2</v>
      </c>
      <c r="C4">
        <f ca="1">SUMIFS('21_Model_Filtered'!F:F,'21_Model_Filtered'!C:C,$A4,'21_Model_Filtered'!E:E,$B4)</f>
        <v>667.34</v>
      </c>
      <c r="D4" s="3">
        <f ca="1">SUMIFS('21_Model_Filtered'!J:J,'21_Model_Filtered'!C:C,$A4,'21_Model_Filtered'!E:E,$B4)</f>
        <v>112</v>
      </c>
      <c r="E4">
        <f ca="1">SUMIFS('21_Model_Filtered'!K:K,'21_Model_Filtered'!C:C,$A4,'21_Model_Filtered'!E:E,$B4)</f>
        <v>2418.4500000000003</v>
      </c>
      <c r="F4" s="3">
        <f t="shared" ca="1" si="0"/>
        <v>3.6240147451074418</v>
      </c>
      <c r="G4" s="3">
        <f t="shared" ca="1" si="1"/>
        <v>5.958392857142857</v>
      </c>
      <c r="H4">
        <f ca="1">IFERROR(
SUMIFS('21_Model_Filtered'!H:H,'21_Model_Filtered'!C:C,$A4,'21_Model_Filtered'!E:E,$B4) /
SUMIFS('21_Model_Filtered'!G:G,'21_Model_Filtered'!C:C,$A4,'21_Model_Filtered'!E:E,$B4),0)</f>
        <v>7.2168565296351322E-2</v>
      </c>
      <c r="I4" t="str">
        <f ca="1">IF(AND(C4&gt;='00_Control'!B8,D4&gt;='00_Control'!B9,F4&gt;='00_Control'!B10),"SCALE",
IF(F4&lt;='00_Control'!B11,"KILL","WATCH"))</f>
        <v>SCALE</v>
      </c>
    </row>
    <row r="5" spans="1:9">
      <c r="A5" t="str">
        <f ca="1"/>
        <v>Campaign_B</v>
      </c>
      <c r="B5" t="str">
        <f ca="1"/>
        <v>Creative_1</v>
      </c>
      <c r="C5">
        <f ca="1">SUMIFS('21_Model_Filtered'!F:F,'21_Model_Filtered'!C:C,$A5,'21_Model_Filtered'!E:E,$B5)</f>
        <v>1137.78</v>
      </c>
      <c r="D5" s="3">
        <f ca="1">SUMIFS('21_Model_Filtered'!J:J,'21_Model_Filtered'!C:C,$A5,'21_Model_Filtered'!E:E,$B5)</f>
        <v>279</v>
      </c>
      <c r="E5">
        <f ca="1">SUMIFS('21_Model_Filtered'!K:K,'21_Model_Filtered'!C:C,$A5,'21_Model_Filtered'!E:E,$B5)</f>
        <v>5501.12</v>
      </c>
      <c r="F5" s="3">
        <f t="shared" ca="1" si="0"/>
        <v>4.834959306720104</v>
      </c>
      <c r="G5" s="3">
        <f t="shared" ca="1" si="1"/>
        <v>4.0780645161290323</v>
      </c>
      <c r="H5">
        <f ca="1">IFERROR(
SUMIFS('21_Model_Filtered'!H:H,'21_Model_Filtered'!C:C,$A5,'21_Model_Filtered'!E:E,$B5) /
SUMIFS('21_Model_Filtered'!G:G,'21_Model_Filtered'!C:C,$A5,'21_Model_Filtered'!E:E,$B5),0)</f>
        <v>5.1891944765972711E-2</v>
      </c>
      <c r="I5" t="str">
        <f ca="1">IF(AND(C5&gt;='00_Control'!B9,D5&gt;='00_Control'!B10,F5&gt;='00_Control'!B11),"SCALE",
IF(F5&lt;='00_Control'!B12,"KILL","WATCH"))</f>
        <v>KILL</v>
      </c>
    </row>
    <row r="6" spans="1:9">
      <c r="A6" t="str">
        <f ca="1"/>
        <v>Campaign_A</v>
      </c>
      <c r="B6" t="str">
        <f ca="1"/>
        <v>Creative_2</v>
      </c>
      <c r="C6">
        <f ca="1">SUMIFS('21_Model_Filtered'!F:F,'21_Model_Filtered'!C:C,$A6,'21_Model_Filtered'!E:E,$B6)</f>
        <v>988.03000000000009</v>
      </c>
      <c r="D6" s="3">
        <f ca="1">SUMIFS('21_Model_Filtered'!J:J,'21_Model_Filtered'!C:C,$A6,'21_Model_Filtered'!E:E,$B6)</f>
        <v>89</v>
      </c>
      <c r="E6">
        <f ca="1">SUMIFS('21_Model_Filtered'!K:K,'21_Model_Filtered'!C:C,$A6,'21_Model_Filtered'!E:E,$B6)</f>
        <v>6620.51</v>
      </c>
      <c r="F6" s="3">
        <f t="shared" ca="1" si="0"/>
        <v>6.7007175895468754</v>
      </c>
      <c r="G6" s="3">
        <f t="shared" ca="1" si="1"/>
        <v>11.101460674157304</v>
      </c>
      <c r="H6">
        <f ca="1">IFERROR(
SUMIFS('21_Model_Filtered'!H:H,'21_Model_Filtered'!C:C,$A6,'21_Model_Filtered'!E:E,$B6) /
SUMIFS('21_Model_Filtered'!G:G,'21_Model_Filtered'!C:C,$A6,'21_Model_Filtered'!E:E,$B6),0)</f>
        <v>5.9445382701406528E-2</v>
      </c>
      <c r="I6" t="str">
        <f ca="1">IF(AND(C6&gt;='00_Control'!B10,D6&gt;='00_Control'!B11,F6&gt;='00_Control'!B12),"SCALE",
IF(F6&lt;='00_Control'!B13,"KILL","WATCH"))</f>
        <v>WATCH</v>
      </c>
    </row>
    <row r="7" spans="1:9">
      <c r="A7" t="str">
        <f ca="1"/>
        <v>Campaign_A</v>
      </c>
      <c r="B7" t="str">
        <f ca="1"/>
        <v>Creative_3</v>
      </c>
      <c r="C7">
        <f ca="1">SUMIFS('21_Model_Filtered'!F:F,'21_Model_Filtered'!C:C,$A7,'21_Model_Filtered'!E:E,$B7)</f>
        <v>1024.81</v>
      </c>
      <c r="D7" s="3">
        <f ca="1">SUMIFS('21_Model_Filtered'!J:J,'21_Model_Filtered'!C:C,$A7,'21_Model_Filtered'!E:E,$B7)</f>
        <v>87</v>
      </c>
      <c r="E7">
        <f ca="1">SUMIFS('21_Model_Filtered'!K:K,'21_Model_Filtered'!C:C,$A7,'21_Model_Filtered'!E:E,$B7)</f>
        <v>4034.6699999999996</v>
      </c>
      <c r="F7" s="3">
        <f t="shared" ca="1" si="0"/>
        <v>3.9369931987392786</v>
      </c>
      <c r="G7" s="3">
        <f t="shared" ca="1" si="1"/>
        <v>11.779425287356322</v>
      </c>
      <c r="H7">
        <f ca="1">IFERROR(
SUMIFS('21_Model_Filtered'!H:H,'21_Model_Filtered'!C:C,$A7,'21_Model_Filtered'!E:E,$B7) /
SUMIFS('21_Model_Filtered'!G:G,'21_Model_Filtered'!C:C,$A7,'21_Model_Filtered'!E:E,$B7),0)</f>
        <v>7.2474480816613868E-2</v>
      </c>
      <c r="I7" t="str">
        <f ca="1">IF(AND(C7&gt;='00_Control'!B11,D7&gt;='00_Control'!B12,F7&gt;='00_Control'!B13),"SCALE",
IF(F7&lt;='00_Control'!B14,"KILL","WATCH"))</f>
        <v>SCALE</v>
      </c>
    </row>
    <row r="8" spans="1:9">
      <c r="A8" t="str">
        <f ca="1"/>
        <v>Campaign_C</v>
      </c>
      <c r="B8" t="str">
        <f ca="1"/>
        <v>Creative_1</v>
      </c>
      <c r="C8">
        <f ca="1">SUMIFS('21_Model_Filtered'!F:F,'21_Model_Filtered'!C:C,$A8,'21_Model_Filtered'!E:E,$B8)</f>
        <v>948.85</v>
      </c>
      <c r="D8" s="3">
        <f ca="1">SUMIFS('21_Model_Filtered'!J:J,'21_Model_Filtered'!C:C,$A8,'21_Model_Filtered'!E:E,$B8)</f>
        <v>181</v>
      </c>
      <c r="E8">
        <f ca="1">SUMIFS('21_Model_Filtered'!K:K,'21_Model_Filtered'!C:C,$A8,'21_Model_Filtered'!E:E,$B8)</f>
        <v>5167.1799999999994</v>
      </c>
      <c r="F8" s="3">
        <f t="shared" ca="1" si="0"/>
        <v>5.4457290404173468</v>
      </c>
      <c r="G8" s="3">
        <f t="shared" ca="1" si="1"/>
        <v>5.2422651933701658</v>
      </c>
      <c r="H8">
        <f ca="1">IFERROR(
SUMIFS('21_Model_Filtered'!H:H,'21_Model_Filtered'!C:C,$A8,'21_Model_Filtered'!E:E,$B8) /
SUMIFS('21_Model_Filtered'!G:G,'21_Model_Filtered'!C:C,$A8,'21_Model_Filtered'!E:E,$B8),0)</f>
        <v>0.12421869859859201</v>
      </c>
      <c r="I8" t="str">
        <f ca="1">IF(AND(C8&gt;='00_Control'!B12,D8&gt;='00_Control'!B13,F8&gt;='00_Control'!B14),"SCALE",
IF(F8&lt;='00_Control'!B15,"KILL","WATCH"))</f>
        <v>SCALE</v>
      </c>
    </row>
    <row r="9" spans="1:9">
      <c r="A9" t="str">
        <f ca="1"/>
        <v>Campaign_C</v>
      </c>
      <c r="B9" t="str">
        <f ca="1"/>
        <v>Creative_2</v>
      </c>
      <c r="C9">
        <f ca="1">SUMIFS('21_Model_Filtered'!F:F,'21_Model_Filtered'!C:C,$A9,'21_Model_Filtered'!E:E,$B9)</f>
        <v>702.26</v>
      </c>
      <c r="D9" s="3">
        <f ca="1">SUMIFS('21_Model_Filtered'!J:J,'21_Model_Filtered'!C:C,$A9,'21_Model_Filtered'!E:E,$B9)</f>
        <v>103</v>
      </c>
      <c r="E9">
        <f ca="1">SUMIFS('21_Model_Filtered'!K:K,'21_Model_Filtered'!C:C,$A9,'21_Model_Filtered'!E:E,$B9)</f>
        <v>4287.9500000000007</v>
      </c>
      <c r="F9" s="3">
        <f t="shared" ca="1" si="0"/>
        <v>6.1059294278472374</v>
      </c>
      <c r="G9" s="3">
        <f t="shared" ca="1" si="1"/>
        <v>6.8180582524271847</v>
      </c>
      <c r="H9">
        <f ca="1">IFERROR(
SUMIFS('21_Model_Filtered'!H:H,'21_Model_Filtered'!C:C,$A9,'21_Model_Filtered'!E:E,$B9) /
SUMIFS('21_Model_Filtered'!G:G,'21_Model_Filtered'!C:C,$A9,'21_Model_Filtered'!E:E,$B9),0)</f>
        <v>3.1451036454610434E-2</v>
      </c>
      <c r="I9" t="str">
        <f ca="1">IF(AND(C9&gt;='00_Control'!B13,D9&gt;='00_Control'!B14,F9&gt;='00_Control'!B15),"SCALE",
IF(F9&lt;='00_Control'!B16,"KILL","WATCH"))</f>
        <v>SCALE</v>
      </c>
    </row>
    <row r="10" spans="1:9">
      <c r="A10" t="str">
        <f ca="1"/>
        <v>Campaign_C</v>
      </c>
      <c r="B10" t="str">
        <f ca="1"/>
        <v>Creative_3</v>
      </c>
      <c r="C10">
        <f ca="1">SUMIFS('21_Model_Filtered'!F:F,'21_Model_Filtered'!C:C,$A10,'21_Model_Filtered'!E:E,$B10)</f>
        <v>655.65</v>
      </c>
      <c r="D10" s="3">
        <f ca="1">SUMIFS('21_Model_Filtered'!J:J,'21_Model_Filtered'!C:C,$A10,'21_Model_Filtered'!E:E,$B10)</f>
        <v>74</v>
      </c>
      <c r="E10">
        <f ca="1">SUMIFS('21_Model_Filtered'!K:K,'21_Model_Filtered'!C:C,$A10,'21_Model_Filtered'!E:E,$B10)</f>
        <v>3839.72</v>
      </c>
      <c r="F10" s="3">
        <f t="shared" ca="1" si="0"/>
        <v>5.8563562876534734</v>
      </c>
      <c r="G10" s="3">
        <f t="shared" ca="1" si="1"/>
        <v>8.8601351351351347</v>
      </c>
      <c r="H10">
        <f ca="1">IFERROR(
SUMIFS('21_Model_Filtered'!H:H,'21_Model_Filtered'!C:C,$A10,'21_Model_Filtered'!E:E,$B10) /
SUMIFS('21_Model_Filtered'!G:G,'21_Model_Filtered'!C:C,$A10,'21_Model_Filtered'!E:E,$B10),0)</f>
        <v>0.16803606485857631</v>
      </c>
      <c r="I10" t="str">
        <f ca="1">IF(AND(C10&gt;='00_Control'!B14,D10&gt;='00_Control'!B15,F10&gt;='00_Control'!B16),"SCALE",
IF(F10&lt;='00_Control'!B17,"KILL","WATCH"))</f>
        <v>SCALE</v>
      </c>
    </row>
    <row r="11" spans="1:9">
      <c r="A11" t="str">
        <f ca="1"/>
        <v>Search_Generic</v>
      </c>
      <c r="B11" t="str">
        <f ca="1"/>
        <v>Headline_C</v>
      </c>
      <c r="C11">
        <f ca="1">SUMIFS('21_Model_Filtered'!F:F,'21_Model_Filtered'!C:C,$A11,'21_Model_Filtered'!E:E,$B11)</f>
        <v>1520.57</v>
      </c>
      <c r="D11" s="3">
        <f ca="1">SUMIFS('21_Model_Filtered'!J:J,'21_Model_Filtered'!C:C,$A11,'21_Model_Filtered'!E:E,$B11)</f>
        <v>148</v>
      </c>
      <c r="E11">
        <f ca="1">SUMIFS('21_Model_Filtered'!K:K,'21_Model_Filtered'!C:C,$A11,'21_Model_Filtered'!E:E,$B11)</f>
        <v>8660.4599999999991</v>
      </c>
      <c r="F11" s="3">
        <f t="shared" ca="1" si="0"/>
        <v>5.695535226921483</v>
      </c>
      <c r="G11" s="3">
        <f t="shared" ca="1" si="1"/>
        <v>10.274121621621621</v>
      </c>
      <c r="H11">
        <f ca="1">IFERROR(
SUMIFS('21_Model_Filtered'!H:H,'21_Model_Filtered'!C:C,$A11,'21_Model_Filtered'!E:E,$B11) /
SUMIFS('21_Model_Filtered'!G:G,'21_Model_Filtered'!C:C,$A11,'21_Model_Filtered'!E:E,$B11),0)</f>
        <v>3.9598887424974381E-2</v>
      </c>
      <c r="I11" t="str">
        <f ca="1">IF(AND(C11&gt;='00_Control'!B15,D11&gt;='00_Control'!B16,F11&gt;='00_Control'!B17),"SCALE",
IF(F11&lt;='00_Control'!B18,"KILL","WATCH"))</f>
        <v>SCALE</v>
      </c>
    </row>
    <row r="12" spans="1:9">
      <c r="A12" t="str">
        <f ca="1"/>
        <v>Search_Generic</v>
      </c>
      <c r="B12" t="str">
        <f ca="1"/>
        <v>Headline_B</v>
      </c>
      <c r="C12">
        <f ca="1">SUMIFS('21_Model_Filtered'!F:F,'21_Model_Filtered'!C:C,$A12,'21_Model_Filtered'!E:E,$B12)</f>
        <v>569.09999999999991</v>
      </c>
      <c r="D12" s="3">
        <f ca="1">SUMIFS('21_Model_Filtered'!J:J,'21_Model_Filtered'!C:C,$A12,'21_Model_Filtered'!E:E,$B12)</f>
        <v>135</v>
      </c>
      <c r="E12">
        <f ca="1">SUMIFS('21_Model_Filtered'!K:K,'21_Model_Filtered'!C:C,$A12,'21_Model_Filtered'!E:E,$B12)</f>
        <v>1382.36</v>
      </c>
      <c r="F12" s="3">
        <f t="shared" ca="1" si="0"/>
        <v>2.4290282902829032</v>
      </c>
      <c r="G12" s="3">
        <f t="shared" ca="1" si="1"/>
        <v>4.2155555555555546</v>
      </c>
      <c r="H12">
        <f ca="1">IFERROR(
SUMIFS('21_Model_Filtered'!H:H,'21_Model_Filtered'!C:C,$A12,'21_Model_Filtered'!E:E,$B12) /
SUMIFS('21_Model_Filtered'!G:G,'21_Model_Filtered'!C:C,$A12,'21_Model_Filtered'!E:E,$B12),0)</f>
        <v>4.4875974486180012E-2</v>
      </c>
      <c r="I12" t="str">
        <f ca="1">IF(AND(C12&gt;='00_Control'!B16,D12&gt;='00_Control'!B17,F12&gt;='00_Control'!B18),"SCALE",
IF(F12&lt;='00_Control'!B19,"KILL","WATCH"))</f>
        <v>SCALE</v>
      </c>
    </row>
    <row r="13" spans="1:9">
      <c r="A13" t="str">
        <f ca="1"/>
        <v>Search_Brand</v>
      </c>
      <c r="B13" t="str">
        <f ca="1"/>
        <v>Headline_B</v>
      </c>
      <c r="C13">
        <f ca="1">SUMIFS('21_Model_Filtered'!F:F,'21_Model_Filtered'!C:C,$A13,'21_Model_Filtered'!E:E,$B13)</f>
        <v>1555.76</v>
      </c>
      <c r="D13" s="3">
        <f ca="1">SUMIFS('21_Model_Filtered'!J:J,'21_Model_Filtered'!C:C,$A13,'21_Model_Filtered'!E:E,$B13)</f>
        <v>232</v>
      </c>
      <c r="E13">
        <f ca="1">SUMIFS('21_Model_Filtered'!K:K,'21_Model_Filtered'!C:C,$A13,'21_Model_Filtered'!E:E,$B13)</f>
        <v>9593.64</v>
      </c>
      <c r="F13" s="3">
        <f t="shared" ca="1" si="0"/>
        <v>6.166529541831645</v>
      </c>
      <c r="G13" s="3">
        <f t="shared" ca="1" si="1"/>
        <v>6.7058620689655175</v>
      </c>
      <c r="H13">
        <f ca="1">IFERROR(
SUMIFS('21_Model_Filtered'!H:H,'21_Model_Filtered'!C:C,$A13,'21_Model_Filtered'!E:E,$B13) /
SUMIFS('21_Model_Filtered'!G:G,'21_Model_Filtered'!C:C,$A13,'21_Model_Filtered'!E:E,$B13),0)</f>
        <v>6.4902957036344883E-2</v>
      </c>
      <c r="I13" t="str">
        <f ca="1">IF(AND(C13&gt;='00_Control'!B17,D13&gt;='00_Control'!B18,F13&gt;='00_Control'!B19),"SCALE",
IF(F13&lt;='00_Control'!B20,"KILL","WATCH"))</f>
        <v>SCALE</v>
      </c>
    </row>
    <row r="14" spans="1:9">
      <c r="A14" t="str">
        <f ca="1"/>
        <v>PMax</v>
      </c>
      <c r="B14" t="str">
        <f ca="1"/>
        <v>Headline_B</v>
      </c>
      <c r="C14">
        <f ca="1">SUMIFS('21_Model_Filtered'!F:F,'21_Model_Filtered'!C:C,$A14,'21_Model_Filtered'!E:E,$B14)</f>
        <v>450.14</v>
      </c>
      <c r="D14" s="3">
        <f ca="1">SUMIFS('21_Model_Filtered'!J:J,'21_Model_Filtered'!C:C,$A14,'21_Model_Filtered'!E:E,$B14)</f>
        <v>76</v>
      </c>
      <c r="E14">
        <f ca="1">SUMIFS('21_Model_Filtered'!K:K,'21_Model_Filtered'!C:C,$A14,'21_Model_Filtered'!E:E,$B14)</f>
        <v>2825.9700000000003</v>
      </c>
      <c r="F14" s="3">
        <f t="shared" ca="1" si="0"/>
        <v>6.2779801839427742</v>
      </c>
      <c r="G14" s="3">
        <f t="shared" ca="1" si="1"/>
        <v>5.922894736842105</v>
      </c>
      <c r="H14">
        <f ca="1">IFERROR(
SUMIFS('21_Model_Filtered'!H:H,'21_Model_Filtered'!C:C,$A14,'21_Model_Filtered'!E:E,$B14) /
SUMIFS('21_Model_Filtered'!G:G,'21_Model_Filtered'!C:C,$A14,'21_Model_Filtered'!E:E,$B14),0)</f>
        <v>7.9199735449735451E-2</v>
      </c>
      <c r="I14" t="str">
        <f ca="1">IF(AND(C14&gt;='00_Control'!B18,D14&gt;='00_Control'!B19,F14&gt;='00_Control'!B20),"SCALE",
IF(F14&lt;='00_Control'!B21,"KILL","WATCH"))</f>
        <v>SCALE</v>
      </c>
    </row>
    <row r="15" spans="1:9">
      <c r="A15" t="str">
        <f ca="1"/>
        <v>PMax</v>
      </c>
      <c r="B15" t="str">
        <f ca="1"/>
        <v>Headline_C</v>
      </c>
      <c r="C15">
        <f ca="1">SUMIFS('21_Model_Filtered'!F:F,'21_Model_Filtered'!C:C,$A15,'21_Model_Filtered'!E:E,$B15)</f>
        <v>1089.1299999999999</v>
      </c>
      <c r="D15" s="3">
        <f ca="1">SUMIFS('21_Model_Filtered'!J:J,'21_Model_Filtered'!C:C,$A15,'21_Model_Filtered'!E:E,$B15)</f>
        <v>120</v>
      </c>
      <c r="E15">
        <f ca="1">SUMIFS('21_Model_Filtered'!K:K,'21_Model_Filtered'!C:C,$A15,'21_Model_Filtered'!E:E,$B15)</f>
        <v>4645.99</v>
      </c>
      <c r="F15" s="3">
        <f t="shared" ca="1" si="0"/>
        <v>4.2657809444235308</v>
      </c>
      <c r="G15" s="3">
        <f t="shared" ca="1" si="1"/>
        <v>9.0760833333333331</v>
      </c>
      <c r="H15">
        <f ca="1">IFERROR(
SUMIFS('21_Model_Filtered'!H:H,'21_Model_Filtered'!C:C,$A15,'21_Model_Filtered'!E:E,$B15) /
SUMIFS('21_Model_Filtered'!G:G,'21_Model_Filtered'!C:C,$A15,'21_Model_Filtered'!E:E,$B15),0)</f>
        <v>6.873169979966097E-2</v>
      </c>
      <c r="I15" t="str">
        <f ca="1">IF(AND(C15&gt;='00_Control'!B19,D15&gt;='00_Control'!B20,F15&gt;='00_Control'!B21),"SCALE",
IF(F15&lt;='00_Control'!B22,"KILL","WATCH"))</f>
        <v>SCALE</v>
      </c>
    </row>
    <row r="16" spans="1:9">
      <c r="A16" t="str">
        <f ca="1"/>
        <v>PMax</v>
      </c>
      <c r="B16" t="str">
        <f ca="1"/>
        <v>Headline_A</v>
      </c>
      <c r="C16">
        <f ca="1">SUMIFS('21_Model_Filtered'!F:F,'21_Model_Filtered'!C:C,$A16,'21_Model_Filtered'!E:E,$B16)</f>
        <v>417.03</v>
      </c>
      <c r="D16" s="3">
        <f ca="1">SUMIFS('21_Model_Filtered'!J:J,'21_Model_Filtered'!C:C,$A16,'21_Model_Filtered'!E:E,$B16)</f>
        <v>117</v>
      </c>
      <c r="E16">
        <f ca="1">SUMIFS('21_Model_Filtered'!K:K,'21_Model_Filtered'!C:C,$A16,'21_Model_Filtered'!E:E,$B16)</f>
        <v>3729.2000000000003</v>
      </c>
      <c r="F16" s="3">
        <f t="shared" ca="1" si="0"/>
        <v>8.9422823298084086</v>
      </c>
      <c r="G16" s="3">
        <f t="shared" ca="1" si="1"/>
        <v>3.5643589743589743</v>
      </c>
      <c r="H16">
        <f ca="1">IFERROR(
SUMIFS('21_Model_Filtered'!H:H,'21_Model_Filtered'!C:C,$A16,'21_Model_Filtered'!E:E,$B16) /
SUMIFS('21_Model_Filtered'!G:G,'21_Model_Filtered'!C:C,$A16,'21_Model_Filtered'!E:E,$B16),0)</f>
        <v>4.9430091185410335E-2</v>
      </c>
      <c r="I16" t="str">
        <f ca="1">IF(AND(C16&gt;='00_Control'!B20,D16&gt;='00_Control'!B21,F16&gt;='00_Control'!B22),"SCALE",
IF(F16&lt;='00_Control'!B23,"KILL","WATCH"))</f>
        <v>SCALE</v>
      </c>
    </row>
    <row r="17" spans="1:9">
      <c r="A17" t="str">
        <f ca="1"/>
        <v>Search_Brand</v>
      </c>
      <c r="B17" t="str">
        <f ca="1"/>
        <v>Headline_C</v>
      </c>
      <c r="C17">
        <f ca="1">SUMIFS('21_Model_Filtered'!F:F,'21_Model_Filtered'!C:C,$A17,'21_Model_Filtered'!E:E,$B17)</f>
        <v>966.02</v>
      </c>
      <c r="D17" s="3">
        <f ca="1">SUMIFS('21_Model_Filtered'!J:J,'21_Model_Filtered'!C:C,$A17,'21_Model_Filtered'!E:E,$B17)</f>
        <v>89</v>
      </c>
      <c r="E17">
        <f ca="1">SUMIFS('21_Model_Filtered'!K:K,'21_Model_Filtered'!C:C,$A17,'21_Model_Filtered'!E:E,$B17)</f>
        <v>3707.2</v>
      </c>
      <c r="F17" s="3">
        <f t="shared" ca="1" si="0"/>
        <v>3.8376017059688206</v>
      </c>
      <c r="G17" s="3">
        <f t="shared" ca="1" si="1"/>
        <v>10.854157303370787</v>
      </c>
      <c r="H17">
        <f ca="1">IFERROR(
SUMIFS('21_Model_Filtered'!H:H,'21_Model_Filtered'!C:C,$A17,'21_Model_Filtered'!E:E,$B17) /
SUMIFS('21_Model_Filtered'!G:G,'21_Model_Filtered'!C:C,$A17,'21_Model_Filtered'!E:E,$B17),0)</f>
        <v>5.3105068815038604E-2</v>
      </c>
      <c r="I17" t="str">
        <f ca="1">IF(AND(C17&gt;='00_Control'!B21,D17&gt;='00_Control'!B22,F17&gt;='00_Control'!B23),"SCALE",
IF(F17&lt;='00_Control'!B24,"KILL","WATCH"))</f>
        <v>SCALE</v>
      </c>
    </row>
    <row r="18" spans="1:9">
      <c r="A18" t="str">
        <f ca="1"/>
        <v>Search_Generic</v>
      </c>
      <c r="B18" t="str">
        <f ca="1"/>
        <v>Headline_A</v>
      </c>
      <c r="C18">
        <f ca="1">SUMIFS('21_Model_Filtered'!F:F,'21_Model_Filtered'!C:C,$A18,'21_Model_Filtered'!E:E,$B18)</f>
        <v>233.64</v>
      </c>
      <c r="D18" s="3">
        <f ca="1">SUMIFS('21_Model_Filtered'!J:J,'21_Model_Filtered'!C:C,$A18,'21_Model_Filtered'!E:E,$B18)</f>
        <v>59</v>
      </c>
      <c r="E18">
        <f ca="1">SUMIFS('21_Model_Filtered'!K:K,'21_Model_Filtered'!C:C,$A18,'21_Model_Filtered'!E:E,$B18)</f>
        <v>2349.4300000000003</v>
      </c>
      <c r="F18" s="3">
        <f t="shared" ca="1" si="0"/>
        <v>10.05576956000685</v>
      </c>
      <c r="G18" s="3">
        <f t="shared" ca="1" si="1"/>
        <v>3.96</v>
      </c>
      <c r="H18">
        <f ca="1">IFERROR(
SUMIFS('21_Model_Filtered'!H:H,'21_Model_Filtered'!C:C,$A18,'21_Model_Filtered'!E:E,$B18) /
SUMIFS('21_Model_Filtered'!G:G,'21_Model_Filtered'!C:C,$A18,'21_Model_Filtered'!E:E,$B18),0)</f>
        <v>7.512254901960784E-2</v>
      </c>
      <c r="I18" t="str">
        <f ca="1">IF(AND(C18&gt;='00_Control'!B22,D18&gt;='00_Control'!B23,F18&gt;='00_Control'!B24),"SCALE",
IF(F18&lt;='00_Control'!B25,"KILL","WATCH"))</f>
        <v>SCALE</v>
      </c>
    </row>
    <row r="19" spans="1:9">
      <c r="A19" t="str">
        <f ca="1"/>
        <v>Search_Brand</v>
      </c>
      <c r="B19" t="str">
        <f ca="1"/>
        <v>Headline_A</v>
      </c>
      <c r="C19">
        <f ca="1">SUMIFS('21_Model_Filtered'!F:F,'21_Model_Filtered'!C:C,$A19,'21_Model_Filtered'!E:E,$B19)</f>
        <v>352.29</v>
      </c>
      <c r="D19" s="3">
        <f ca="1">SUMIFS('21_Model_Filtered'!J:J,'21_Model_Filtered'!C:C,$A19,'21_Model_Filtered'!E:E,$B19)</f>
        <v>44</v>
      </c>
      <c r="E19">
        <f ca="1">SUMIFS('21_Model_Filtered'!K:K,'21_Model_Filtered'!C:C,$A19,'21_Model_Filtered'!E:E,$B19)</f>
        <v>2999.64</v>
      </c>
      <c r="F19" s="3">
        <f t="shared" ca="1" si="0"/>
        <v>8.5146896023162721</v>
      </c>
      <c r="G19" s="3">
        <f t="shared" ca="1" si="1"/>
        <v>8.0065909090909102</v>
      </c>
      <c r="H19">
        <f ca="1">IFERROR(
SUMIFS('21_Model_Filtered'!H:H,'21_Model_Filtered'!C:C,$A19,'21_Model_Filtered'!E:E,$B19) /
SUMIFS('21_Model_Filtered'!G:G,'21_Model_Filtered'!C:C,$A19,'21_Model_Filtered'!E:E,$B19),0)</f>
        <v>0.11407094197791873</v>
      </c>
      <c r="I19" t="str">
        <f ca="1">IF(AND(C19&gt;='00_Control'!B23,D19&gt;='00_Control'!B24,F19&gt;='00_Control'!B25),"SCALE",
IF(F19&lt;='00_Control'!B26,"KILL","WATCH"))</f>
        <v>SCALE</v>
      </c>
    </row>
  </sheetData>
  <conditionalFormatting sqref="I2:I19">
    <cfRule type="cellIs" dxfId="1" priority="3" operator="equal">
      <formula>"SCALE"</formula>
    </cfRule>
    <cfRule type="cellIs" dxfId="2" priority="2" operator="equal">
      <formula>"KILL"</formula>
    </cfRule>
    <cfRule type="cellIs" dxfId="0" priority="1" operator="equal">
      <formula>"WATCH"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2FDB-5C98-452A-88DE-220BB3A67689}">
  <dimension ref="A1:H6"/>
  <sheetViews>
    <sheetView workbookViewId="0">
      <selection activeCell="D25" sqref="D25"/>
    </sheetView>
  </sheetViews>
  <sheetFormatPr defaultRowHeight="14.4"/>
  <cols>
    <col min="1" max="1" width="13.33203125" bestFit="1" customWidth="1"/>
    <col min="2" max="2" width="9.88671875" bestFit="1" customWidth="1"/>
    <col min="3" max="3" width="11.109375" bestFit="1" customWidth="1"/>
    <col min="4" max="4" width="9.21875" bestFit="1" customWidth="1"/>
    <col min="5" max="5" width="7.6640625" bestFit="1" customWidth="1"/>
    <col min="6" max="6" width="11.77734375" bestFit="1" customWidth="1"/>
    <col min="7" max="7" width="4.5546875" bestFit="1" customWidth="1"/>
    <col min="8" max="8" width="16.109375" bestFit="1" customWidth="1"/>
  </cols>
  <sheetData>
    <row r="1" spans="1:8">
      <c r="A1" s="7" t="s">
        <v>25</v>
      </c>
      <c r="B1" s="7" t="s">
        <v>167</v>
      </c>
      <c r="C1" s="7" t="s">
        <v>27</v>
      </c>
      <c r="D1" s="7" t="s">
        <v>28</v>
      </c>
      <c r="E1" s="7" t="s">
        <v>29</v>
      </c>
      <c r="F1" s="7" t="s">
        <v>168</v>
      </c>
      <c r="G1" s="7" t="s">
        <v>169</v>
      </c>
      <c r="H1" s="7" t="s">
        <v>166</v>
      </c>
    </row>
    <row r="2" spans="1:8">
      <c r="A2" t="str" cm="1">
        <f t="array" ref="A2:A6">_xlfn.UNIQUE(_xlfn._xlws.FILTER('03_Raw_Shopify'!D2:D10000,'03_Raw_Shopify'!D2:D10000&lt;&gt;""))</f>
        <v>Collagen</v>
      </c>
      <c r="B2">
        <f>SUMIFS('03_Raw_Shopify'!E:E,'03_Raw_Shopify'!D:D,$A2)</f>
        <v>40</v>
      </c>
      <c r="C2">
        <f>SUMIFS('03_Raw_Shopify'!F:F,'03_Raw_Shopify'!D:D,$A2)</f>
        <v>2374.98</v>
      </c>
      <c r="D2">
        <f>SUMIFS('03_Raw_Shopify'!G:G,'03_Raw_Shopify'!D:D,$A2)</f>
        <v>254.14</v>
      </c>
      <c r="E2" s="3">
        <f>SUMIFS('03_Raw_Shopify'!H:H,'03_Raw_Shopify'!D:D,$A2)</f>
        <v>94.359999999999985</v>
      </c>
      <c r="F2">
        <f>SUMIFS('03_Raw_Shopify'!I:I,'03_Raw_Shopify'!D:D,$A2)</f>
        <v>2026.4800000000005</v>
      </c>
      <c r="G2">
        <f>IFERROR(F2/B2,0)</f>
        <v>50.662000000000013</v>
      </c>
      <c r="H2" t="str">
        <f>IF(F2&gt;2000,"HIGH PERFORMER",
IF(F2&lt;500,"LOW PERFORMER","AVERAGE"))</f>
        <v>HIGH PERFORMER</v>
      </c>
    </row>
    <row r="3" spans="1:8">
      <c r="A3" t="str">
        <v>Vitamin C</v>
      </c>
      <c r="B3">
        <f>SUMIFS('03_Raw_Shopify'!E:E,'03_Raw_Shopify'!D:D,$A3)</f>
        <v>45</v>
      </c>
      <c r="C3">
        <f>SUMIFS('03_Raw_Shopify'!F:F,'03_Raw_Shopify'!D:D,$A3)</f>
        <v>2634.0800000000004</v>
      </c>
      <c r="D3">
        <f>SUMIFS('03_Raw_Shopify'!G:G,'03_Raw_Shopify'!D:D,$A3)</f>
        <v>196.12999999999997</v>
      </c>
      <c r="E3" s="3">
        <f>SUMIFS('03_Raw_Shopify'!H:H,'03_Raw_Shopify'!D:D,$A3)</f>
        <v>102.05</v>
      </c>
      <c r="F3">
        <f>SUMIFS('03_Raw_Shopify'!I:I,'03_Raw_Shopify'!D:D,$A3)</f>
        <v>2335.9000000000005</v>
      </c>
      <c r="G3">
        <f t="shared" ref="G3:G6" si="0">IFERROR(F3/B3,0)</f>
        <v>51.908888888888903</v>
      </c>
      <c r="H3" t="str">
        <f t="shared" ref="H3:H6" si="1">IF(F3&gt;2000,"HIGH PERFORMER",
IF(F3&lt;500,"LOW PERFORMER","AVERAGE"))</f>
        <v>HIGH PERFORMER</v>
      </c>
    </row>
    <row r="4" spans="1:8">
      <c r="A4" t="str">
        <v>Magnesium</v>
      </c>
      <c r="B4">
        <f>SUMIFS('03_Raw_Shopify'!E:E,'03_Raw_Shopify'!D:D,$A4)</f>
        <v>47</v>
      </c>
      <c r="C4">
        <f>SUMIFS('03_Raw_Shopify'!F:F,'03_Raw_Shopify'!D:D,$A4)</f>
        <v>3245.22</v>
      </c>
      <c r="D4">
        <f>SUMIFS('03_Raw_Shopify'!G:G,'03_Raw_Shopify'!D:D,$A4)</f>
        <v>233.28000000000003</v>
      </c>
      <c r="E4" s="3">
        <f>SUMIFS('03_Raw_Shopify'!H:H,'03_Raw_Shopify'!D:D,$A4)</f>
        <v>135.71</v>
      </c>
      <c r="F4">
        <f>SUMIFS('03_Raw_Shopify'!I:I,'03_Raw_Shopify'!D:D,$A4)</f>
        <v>2876.2300000000005</v>
      </c>
      <c r="G4">
        <f t="shared" si="0"/>
        <v>61.196382978723413</v>
      </c>
      <c r="H4" t="str">
        <f t="shared" si="1"/>
        <v>HIGH PERFORMER</v>
      </c>
    </row>
    <row r="5" spans="1:8">
      <c r="A5" t="str">
        <v>Protein Powder</v>
      </c>
      <c r="B5">
        <f>SUMIFS('03_Raw_Shopify'!E:E,'03_Raw_Shopify'!D:D,$A5)</f>
        <v>39</v>
      </c>
      <c r="C5">
        <f>SUMIFS('03_Raw_Shopify'!F:F,'03_Raw_Shopify'!D:D,$A5)</f>
        <v>2071.0200000000004</v>
      </c>
      <c r="D5">
        <f>SUMIFS('03_Raw_Shopify'!G:G,'03_Raw_Shopify'!D:D,$A5)</f>
        <v>171.85000000000002</v>
      </c>
      <c r="E5" s="3">
        <f>SUMIFS('03_Raw_Shopify'!H:H,'03_Raw_Shopify'!D:D,$A5)</f>
        <v>82.95</v>
      </c>
      <c r="F5">
        <f>SUMIFS('03_Raw_Shopify'!I:I,'03_Raw_Shopify'!D:D,$A5)</f>
        <v>1816.2199999999998</v>
      </c>
      <c r="G5">
        <f t="shared" si="0"/>
        <v>46.569743589743588</v>
      </c>
      <c r="H5" t="str">
        <f t="shared" si="1"/>
        <v>AVERAGE</v>
      </c>
    </row>
    <row r="6" spans="1:8">
      <c r="A6" t="str">
        <v>Omega 3</v>
      </c>
      <c r="B6">
        <f>SUMIFS('03_Raw_Shopify'!E:E,'03_Raw_Shopify'!D:D,$A6)</f>
        <v>23</v>
      </c>
      <c r="C6">
        <f>SUMIFS('03_Raw_Shopify'!F:F,'03_Raw_Shopify'!D:D,$A6)</f>
        <v>1388.18</v>
      </c>
      <c r="D6">
        <f>SUMIFS('03_Raw_Shopify'!G:G,'03_Raw_Shopify'!D:D,$A6)</f>
        <v>77.66</v>
      </c>
      <c r="E6" s="3">
        <f>SUMIFS('03_Raw_Shopify'!H:H,'03_Raw_Shopify'!D:D,$A6)</f>
        <v>62.77000000000001</v>
      </c>
      <c r="F6">
        <f>SUMIFS('03_Raw_Shopify'!I:I,'03_Raw_Shopify'!D:D,$A6)</f>
        <v>1247.75</v>
      </c>
      <c r="G6">
        <f t="shared" si="0"/>
        <v>54.25</v>
      </c>
      <c r="H6" t="str">
        <f t="shared" si="1"/>
        <v>AVERAGE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626A-4851-420C-AF6D-76D615055BD6}">
  <dimension ref="B2:F27"/>
  <sheetViews>
    <sheetView showGridLines="0" workbookViewId="0">
      <selection activeCell="H3" sqref="H3"/>
    </sheetView>
  </sheetViews>
  <sheetFormatPr defaultRowHeight="14.4"/>
  <cols>
    <col min="1" max="11" width="20.77734375" customWidth="1"/>
  </cols>
  <sheetData>
    <row r="2" spans="2:6">
      <c r="B2" s="17" t="s">
        <v>170</v>
      </c>
      <c r="C2" s="17" t="s">
        <v>171</v>
      </c>
      <c r="D2" s="17" t="s">
        <v>172</v>
      </c>
      <c r="E2" s="17" t="s">
        <v>173</v>
      </c>
    </row>
    <row r="3" spans="2:6">
      <c r="B3" s="14">
        <f ca="1">SUM('21_Model_Filtered'!F:F)</f>
        <v>15834.669999999996</v>
      </c>
      <c r="C3" s="14">
        <f ca="1">SUM('21_Model_Filtered'!K:K)</f>
        <v>83534.28</v>
      </c>
      <c r="D3" s="15">
        <f ca="1">SUM('21_Model_Filtered'!J:J)</f>
        <v>2362</v>
      </c>
      <c r="E3" s="16">
        <f ca="1">C3/B3</f>
        <v>5.2754039080069255</v>
      </c>
    </row>
    <row r="6" spans="2:6">
      <c r="B6" s="17" t="s">
        <v>174</v>
      </c>
      <c r="D6" s="7" t="s">
        <v>175</v>
      </c>
      <c r="F6" s="17" t="s">
        <v>176</v>
      </c>
    </row>
    <row r="7" spans="2:6">
      <c r="B7" s="15" t="str">
        <f ca="1">INDEX('30_Campaign_Perf'!A:A,MATCH(MAX('30_Campaign_Perf'!E:E),'30_Campaign_Perf'!E:E,0))</f>
        <v>Campaign_C</v>
      </c>
      <c r="D7" t="str">
        <f>INDEX('32_Product_Perf'!A:A,MATCH(MAX('32_Product_Perf'!F:F),'32_Product_Perf'!F:F,0))</f>
        <v>Magnesium</v>
      </c>
      <c r="F7" s="15">
        <f>SUM('32_Product_Perf'!B:B)</f>
        <v>194</v>
      </c>
    </row>
    <row r="10" spans="2:6">
      <c r="B10" s="17" t="s">
        <v>9</v>
      </c>
      <c r="C10" s="17" t="s">
        <v>33</v>
      </c>
    </row>
    <row r="11" spans="2:6">
      <c r="B11" s="18" cm="1">
        <f t="array" aca="1" ref="B11:B27" ca="1">_xlfn.UNIQUE('21_Model_Filtered'!A2:A10000)</f>
        <v>46037</v>
      </c>
      <c r="C11" s="15">
        <f ca="1">SUMIFS('21_Model_Filtered'!K:K,'21_Model_Filtered'!A:A,B11)</f>
        <v>4788.8600000000006</v>
      </c>
    </row>
    <row r="12" spans="2:6">
      <c r="B12" s="18">
        <f ca="1"/>
        <v>46038</v>
      </c>
      <c r="C12" s="15">
        <f ca="1">SUMIFS('21_Model_Filtered'!K:K,'21_Model_Filtered'!A:A,B12)</f>
        <v>5707.9100000000008</v>
      </c>
    </row>
    <row r="13" spans="2:6">
      <c r="B13" s="18">
        <f ca="1"/>
        <v>46039</v>
      </c>
      <c r="C13" s="15">
        <f ca="1">SUMIFS('21_Model_Filtered'!K:K,'21_Model_Filtered'!A:A,B13)</f>
        <v>6211.97</v>
      </c>
    </row>
    <row r="14" spans="2:6">
      <c r="B14" s="18">
        <f ca="1"/>
        <v>46040</v>
      </c>
      <c r="C14" s="15">
        <f ca="1">SUMIFS('21_Model_Filtered'!K:K,'21_Model_Filtered'!A:A,B14)</f>
        <v>7367.29</v>
      </c>
    </row>
    <row r="15" spans="2:6">
      <c r="B15" s="18">
        <f ca="1"/>
        <v>46041</v>
      </c>
      <c r="C15" s="15">
        <f ca="1">SUMIFS('21_Model_Filtered'!K:K,'21_Model_Filtered'!A:A,B15)</f>
        <v>4014.37</v>
      </c>
    </row>
    <row r="16" spans="2:6">
      <c r="B16" s="18">
        <f ca="1"/>
        <v>46042</v>
      </c>
      <c r="C16" s="15">
        <f ca="1">SUMIFS('21_Model_Filtered'!K:K,'21_Model_Filtered'!A:A,B16)</f>
        <v>5120.9299999999994</v>
      </c>
    </row>
    <row r="17" spans="2:3">
      <c r="B17" s="18">
        <f ca="1"/>
        <v>46043</v>
      </c>
      <c r="C17" s="15">
        <f ca="1">SUMIFS('21_Model_Filtered'!K:K,'21_Model_Filtered'!A:A,B17)</f>
        <v>4871.12</v>
      </c>
    </row>
    <row r="18" spans="2:3">
      <c r="B18" s="18">
        <f ca="1"/>
        <v>46044</v>
      </c>
      <c r="C18" s="15">
        <f ca="1">SUMIFS('21_Model_Filtered'!K:K,'21_Model_Filtered'!A:A,B18)</f>
        <v>5682.76</v>
      </c>
    </row>
    <row r="19" spans="2:3">
      <c r="B19" s="18">
        <f ca="1"/>
        <v>46045</v>
      </c>
      <c r="C19" s="15">
        <f ca="1">SUMIFS('21_Model_Filtered'!K:K,'21_Model_Filtered'!A:A,B19)</f>
        <v>5012</v>
      </c>
    </row>
    <row r="20" spans="2:3">
      <c r="B20" s="18">
        <f ca="1"/>
        <v>46046</v>
      </c>
      <c r="C20" s="15">
        <f ca="1">SUMIFS('21_Model_Filtered'!K:K,'21_Model_Filtered'!A:A,B20)</f>
        <v>4502.74</v>
      </c>
    </row>
    <row r="21" spans="2:3">
      <c r="B21" s="18">
        <f ca="1"/>
        <v>46047</v>
      </c>
      <c r="C21" s="15">
        <f ca="1">SUMIFS('21_Model_Filtered'!K:K,'21_Model_Filtered'!A:A,B21)</f>
        <v>5877.33</v>
      </c>
    </row>
    <row r="22" spans="2:3">
      <c r="B22" s="18">
        <f ca="1"/>
        <v>46048</v>
      </c>
      <c r="C22" s="15">
        <f ca="1">SUMIFS('21_Model_Filtered'!K:K,'21_Model_Filtered'!A:A,B22)</f>
        <v>3865.75</v>
      </c>
    </row>
    <row r="23" spans="2:3">
      <c r="B23" s="18">
        <f ca="1"/>
        <v>46049</v>
      </c>
      <c r="C23" s="15">
        <f ca="1">SUMIFS('21_Model_Filtered'!K:K,'21_Model_Filtered'!A:A,B23)</f>
        <v>7489.5300000000007</v>
      </c>
    </row>
    <row r="24" spans="2:3">
      <c r="B24" s="18">
        <f ca="1"/>
        <v>46050</v>
      </c>
      <c r="C24" s="15">
        <f ca="1">SUMIFS('21_Model_Filtered'!K:K,'21_Model_Filtered'!A:A,B24)</f>
        <v>4238.3099999999995</v>
      </c>
    </row>
    <row r="25" spans="2:3">
      <c r="B25" s="18">
        <f ca="1"/>
        <v>46051</v>
      </c>
      <c r="C25" s="15">
        <f ca="1">SUMIFS('21_Model_Filtered'!K:K,'21_Model_Filtered'!A:A,B25)</f>
        <v>3796.66</v>
      </c>
    </row>
    <row r="26" spans="2:3">
      <c r="B26" s="18">
        <f ca="1"/>
        <v>46052</v>
      </c>
      <c r="C26" s="15">
        <f ca="1">SUMIFS('21_Model_Filtered'!K:K,'21_Model_Filtered'!A:A,B26)</f>
        <v>4986.75</v>
      </c>
    </row>
    <row r="27" spans="2:3">
      <c r="B27">
        <f ca="1"/>
        <v>0</v>
      </c>
      <c r="C27" s="15">
        <f ca="1">SUMIFS('21_Model_Filtered'!K:K,'21_Model_Filtered'!A:A,B27)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00_Control</vt:lpstr>
      <vt:lpstr>01_Raw_Meta</vt:lpstr>
      <vt:lpstr>02_Raw_Google</vt:lpstr>
      <vt:lpstr>03_Raw_Shopify</vt:lpstr>
      <vt:lpstr>10_Clean_Meta</vt:lpstr>
      <vt:lpstr>11_Clean_Google</vt:lpstr>
      <vt:lpstr>12_Clean_ShopifyData</vt:lpstr>
      <vt:lpstr>20_Model_Daily</vt:lpstr>
      <vt:lpstr>21_Model_Filtered</vt:lpstr>
      <vt:lpstr>30_Campaign_Perf</vt:lpstr>
      <vt:lpstr>31_Creative_Perf</vt:lpstr>
      <vt:lpstr>32_Product_Perf</vt:lpstr>
      <vt:lpstr>40_Executive_Dashboard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Otewa</dc:creator>
  <cp:lastModifiedBy>David Otewa</cp:lastModifiedBy>
  <dcterms:created xsi:type="dcterms:W3CDTF">2026-03-03T14:13:47Z</dcterms:created>
  <dcterms:modified xsi:type="dcterms:W3CDTF">2026-03-11T09:57:59Z</dcterms:modified>
</cp:coreProperties>
</file>